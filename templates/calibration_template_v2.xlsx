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610183253\Documents\new calibration\templates\"/>
    </mc:Choice>
  </mc:AlternateContent>
  <xr:revisionPtr revIDLastSave="0" documentId="13_ncr:1_{DD1AC19E-8259-4409-A1D6-9F27B83CA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_INPUT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" l="1"/>
  <c r="K29" i="1"/>
  <c r="K28" i="1"/>
</calcChain>
</file>

<file path=xl/sharedStrings.xml><?xml version="1.0" encoding="utf-8"?>
<sst xmlns="http://schemas.openxmlformats.org/spreadsheetml/2006/main" count="568" uniqueCount="89">
  <si>
    <t>GAGE TYPE</t>
  </si>
  <si>
    <t>S/N GAGE USED TO CALIBRATE</t>
  </si>
  <si>
    <t>GRADUATION</t>
  </si>
  <si>
    <t>PROCEDURE</t>
  </si>
  <si>
    <t>PROC #</t>
  </si>
  <si>
    <t>DATE CALIBRATED</t>
  </si>
  <si>
    <t>SERIAL NUMBER</t>
  </si>
  <si>
    <t>MFG</t>
  </si>
  <si>
    <t>MODEL #</t>
  </si>
  <si>
    <t>CALIBRATED BY</t>
  </si>
  <si>
    <t>CHECKPOINT A
Value</t>
  </si>
  <si>
    <t>A - 1</t>
  </si>
  <si>
    <t>A - 2</t>
  </si>
  <si>
    <t>A - 3</t>
  </si>
  <si>
    <t>CHECKPOINT B
Value</t>
  </si>
  <si>
    <t>B - 1</t>
  </si>
  <si>
    <t>B - 2</t>
  </si>
  <si>
    <t>B - 3</t>
  </si>
  <si>
    <t>CHECKPOINT C
Value</t>
  </si>
  <si>
    <t>C - 1</t>
  </si>
  <si>
    <t>C - 2</t>
  </si>
  <si>
    <t>C - 3</t>
  </si>
  <si>
    <t>STATUS</t>
  </si>
  <si>
    <t>NOTES</t>
  </si>
  <si>
    <t>O.D. Micrometer</t>
  </si>
  <si>
    <t>95901</t>
  </si>
  <si>
    <t>0.001</t>
  </si>
  <si>
    <t>DP-140</t>
  </si>
  <si>
    <t>04-201</t>
  </si>
  <si>
    <t>17139</t>
  </si>
  <si>
    <t>Starrett</t>
  </si>
  <si>
    <t>No.436</t>
  </si>
  <si>
    <t>9.100</t>
  </si>
  <si>
    <t>9.500</t>
  </si>
  <si>
    <t>9.900</t>
  </si>
  <si>
    <t>READY</t>
  </si>
  <si>
    <t>CF</t>
  </si>
  <si>
    <t>3/12/2026</t>
  </si>
  <si>
    <t>CALIBRATION DATA ENTRY — INSTRUCTIONS</t>
  </si>
  <si>
    <t>One row = one calibration event for one gage.</t>
  </si>
  <si>
    <t>Fill in from left to right matching the paper form.</t>
  </si>
  <si>
    <t>FIELD GUIDE:</t>
  </si>
  <si>
    <t>GAGE TYPE            → e.g. O.D. Micrometer, Vernier Caliper</t>
  </si>
  <si>
    <t>S/N GAGE USED TO CAL → Serial number of the calibration standard used</t>
  </si>
  <si>
    <t>GRADUATION           → Smallest unit on the gage (e.g. 0.001)</t>
  </si>
  <si>
    <t>PROCEDURE            → Procedure code (e.g. DP-140)</t>
  </si>
  <si>
    <t>PROC #               → Procedure sub-number (e.g. 04-201)</t>
  </si>
  <si>
    <t>DATE CALIBRATED      → MM/DD/YYYY</t>
  </si>
  <si>
    <t>SERIAL NUMBER        → Serial number printed on the gage itself</t>
  </si>
  <si>
    <t>MFG                  → Manufacturer (e.g. Starrett, Mitutoyo)</t>
  </si>
  <si>
    <t>MODEL #              → Model number on the gage</t>
  </si>
  <si>
    <t>CALIBRATED BY        → Initials of the person who performed calibration</t>
  </si>
  <si>
    <t>CHECKPOINT A Value   → The measurement point for checkpoint A (e.g. 9.100)</t>
  </si>
  <si>
    <t>A-1, A-2, A-3        → The three readings at checkpoint A</t>
  </si>
  <si>
    <t>CHECKPOINT B Value   → The measurement point for checkpoint B (e.g. 9.500)</t>
  </si>
  <si>
    <t>B-1, B-2, B-3        → The three readings at checkpoint B</t>
  </si>
  <si>
    <t>CHECKPOINT C Value   → The measurement point for checkpoint C (e.g. 9.900)</t>
  </si>
  <si>
    <t>C-1, C-2, C-3        → The three readings at checkpoint C</t>
  </si>
  <si>
    <t>STATUS               → READY / PENDING / FAILED (use dropdown)</t>
  </si>
  <si>
    <t>NOTES                → Any additional comments</t>
  </si>
  <si>
    <t>RULES:</t>
  </si>
  <si>
    <t>- Leave measurement cells BLANK if no reading was taken.</t>
  </si>
  <si>
    <t>- Do NOT use 0 or -1 as placeholders.</t>
  </si>
  <si>
    <t>- Checkpoint values CAN change between calibrations — enter the actual value used.</t>
  </si>
  <si>
    <t>Mitutoyo</t>
  </si>
  <si>
    <t>103-188</t>
  </si>
  <si>
    <t>103-184A</t>
  </si>
  <si>
    <t xml:space="preserve"> 103-185</t>
  </si>
  <si>
    <t>scherr tumico</t>
  </si>
  <si>
    <t>N/A</t>
  </si>
  <si>
    <t>10..9</t>
  </si>
  <si>
    <t xml:space="preserve"> 3/6/26</t>
  </si>
  <si>
    <t xml:space="preserve"> 3/26/2026</t>
  </si>
  <si>
    <t xml:space="preserve"> 103-182a</t>
  </si>
  <si>
    <t>103-183A</t>
  </si>
  <si>
    <t xml:space="preserve"> 3/21/2026</t>
  </si>
  <si>
    <t xml:space="preserve"> 3/13/26</t>
  </si>
  <si>
    <t>193-211</t>
  </si>
  <si>
    <t xml:space="preserve"> 3/20/26</t>
  </si>
  <si>
    <t xml:space="preserve"> 4/20/2026</t>
  </si>
  <si>
    <t xml:space="preserve"> 2/23/26</t>
  </si>
  <si>
    <t xml:space="preserve"> Blade Micrometer</t>
  </si>
  <si>
    <t xml:space="preserve"> Depth Micrometer</t>
  </si>
  <si>
    <t xml:space="preserve"> Digital Micrometer</t>
  </si>
  <si>
    <t xml:space="preserve"> Disc Micrometer</t>
  </si>
  <si>
    <t xml:space="preserve"> 2/26/2026</t>
  </si>
  <si>
    <t xml:space="preserve"> 169-203</t>
  </si>
  <si>
    <t xml:space="preserve"> 2/23/2026</t>
  </si>
  <si>
    <t>103-220A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</si>
</sst>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1"/>
      <name val="Arial"/>
    </font>
    <font>
      <sz val="10"/>
      <name val="Arial"/>
    </font>
    <font>
      <b/>
      <sz val="9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38135"/>
      </patternFill>
    </fill>
    <fill>
      <patternFill patternType="solid">
        <fgColor rgb="FFBF8F00"/>
      </patternFill>
    </fill>
    <fill>
      <patternFill patternType="solid">
        <fgColor rgb="FFF5F5F5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6" fontId="6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8"/>
  <sheetViews>
    <sheetView tabSelected="1" zoomScale="115" zoomScaleNormal="115" workbookViewId="0">
      <pane ySplit="1" topLeftCell="A32" activePane="bottomLeft" state="frozen"/>
      <selection pane="bottomLeft" activeCell="G50" sqref="G50"/>
    </sheetView>
  </sheetViews>
  <sheetFormatPr defaultRowHeight="15" x14ac:dyDescent="0.25"/>
  <cols>
    <col min="1" max="1" width="18" customWidth="1"/>
    <col min="2" max="2" width="22" customWidth="1"/>
    <col min="3" max="3" width="14" customWidth="1"/>
    <col min="4" max="4" width="12" customWidth="1"/>
    <col min="5" max="5" width="10" customWidth="1"/>
    <col min="6" max="6" width="16" customWidth="1"/>
    <col min="7" max="7" width="14" customWidth="1"/>
    <col min="8" max="8" width="12" customWidth="1"/>
    <col min="9" max="9" width="10" customWidth="1"/>
    <col min="10" max="11" width="14" customWidth="1"/>
    <col min="12" max="14" width="10" customWidth="1"/>
    <col min="15" max="15" width="14" customWidth="1"/>
    <col min="16" max="18" width="10" customWidth="1"/>
    <col min="19" max="19" width="14" customWidth="1"/>
    <col min="20" max="22" width="10" customWidth="1"/>
    <col min="23" max="23" width="12" customWidth="1"/>
    <col min="24" max="24" width="28" customWidth="1"/>
  </cols>
  <sheetData>
    <row r="1" spans="1:24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</row>
    <row r="2" spans="1:24" x14ac:dyDescent="0.25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37</v>
      </c>
      <c r="G2" s="9" t="s">
        <v>29</v>
      </c>
      <c r="H2" s="9" t="s">
        <v>30</v>
      </c>
      <c r="I2" s="9" t="s">
        <v>31</v>
      </c>
      <c r="J2" s="9" t="s">
        <v>36</v>
      </c>
      <c r="K2" s="6" t="s">
        <v>32</v>
      </c>
      <c r="L2" s="6">
        <v>-1E-4</v>
      </c>
      <c r="M2" s="6">
        <v>-1E-4</v>
      </c>
      <c r="N2" s="6">
        <v>-1E-4</v>
      </c>
      <c r="O2" s="7" t="s">
        <v>33</v>
      </c>
      <c r="P2" s="7">
        <v>0</v>
      </c>
      <c r="Q2" s="7">
        <v>0</v>
      </c>
      <c r="R2" s="7">
        <v>5.0000000000000002E-5</v>
      </c>
      <c r="S2" s="8" t="s">
        <v>34</v>
      </c>
      <c r="T2" s="8">
        <v>5.0000000000000002E-5</v>
      </c>
      <c r="U2" s="8">
        <v>1E-4</v>
      </c>
      <c r="V2" s="8">
        <v>1E-4</v>
      </c>
      <c r="W2" s="9" t="s">
        <v>35</v>
      </c>
      <c r="X2" s="9"/>
    </row>
    <row r="3" spans="1:24" x14ac:dyDescent="0.25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13">
        <v>46093</v>
      </c>
      <c r="G3" s="9">
        <v>17156</v>
      </c>
      <c r="H3" s="9" t="s">
        <v>64</v>
      </c>
      <c r="I3" s="9" t="s">
        <v>65</v>
      </c>
      <c r="J3" s="9" t="s">
        <v>36</v>
      </c>
      <c r="K3" s="6">
        <v>11.1</v>
      </c>
      <c r="L3" s="6">
        <v>-2.9999999999999997E-4</v>
      </c>
      <c r="M3" s="6">
        <v>-2.9999999999999997E-4</v>
      </c>
      <c r="N3" s="6">
        <v>-3.5E-4</v>
      </c>
      <c r="O3" s="7">
        <v>11.5</v>
      </c>
      <c r="P3" s="7">
        <v>-2.0000000000000001E-4</v>
      </c>
      <c r="Q3" s="7">
        <v>-2.0000000000000001E-4</v>
      </c>
      <c r="R3" s="7">
        <v>-2.0000000000000001E-4</v>
      </c>
      <c r="S3" s="8">
        <v>11.9</v>
      </c>
      <c r="T3" s="8">
        <v>-1E-4</v>
      </c>
      <c r="U3" s="8">
        <v>-1E-4</v>
      </c>
      <c r="V3" s="8">
        <v>-1.4999999999999999E-4</v>
      </c>
      <c r="W3" s="9" t="s">
        <v>35</v>
      </c>
      <c r="X3" s="9"/>
    </row>
    <row r="4" spans="1:24" x14ac:dyDescent="0.25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13">
        <v>46093</v>
      </c>
      <c r="G4" s="5">
        <v>17043</v>
      </c>
      <c r="H4" s="9" t="s">
        <v>30</v>
      </c>
      <c r="I4" s="5">
        <v>436</v>
      </c>
      <c r="J4" s="9" t="s">
        <v>36</v>
      </c>
      <c r="K4" s="6">
        <v>11.1</v>
      </c>
      <c r="L4" s="6">
        <v>3.5E-4</v>
      </c>
      <c r="M4" s="6">
        <v>3.5E-4</v>
      </c>
      <c r="N4" s="6">
        <v>4.0000000000000002E-4</v>
      </c>
      <c r="O4" s="7">
        <v>11.5</v>
      </c>
      <c r="P4" s="6">
        <v>4.0000000000000002E-4</v>
      </c>
      <c r="Q4" s="6">
        <v>4.0000000000000002E-4</v>
      </c>
      <c r="R4" s="6">
        <v>4.4999999999999999E-4</v>
      </c>
      <c r="S4" s="8">
        <v>11.9</v>
      </c>
      <c r="T4" s="8">
        <v>5.9999999999999995E-4</v>
      </c>
      <c r="U4" s="8">
        <v>5.9999999999999995E-4</v>
      </c>
      <c r="V4" s="8">
        <v>5.9999999999999995E-4</v>
      </c>
      <c r="W4" s="5" t="s">
        <v>35</v>
      </c>
      <c r="X4" s="5"/>
    </row>
    <row r="5" spans="1:24" x14ac:dyDescent="0.25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12">
        <v>46093</v>
      </c>
      <c r="G5" s="9">
        <v>17042</v>
      </c>
      <c r="H5" s="9" t="s">
        <v>30</v>
      </c>
      <c r="I5" s="5">
        <v>436</v>
      </c>
      <c r="J5" s="9" t="s">
        <v>36</v>
      </c>
      <c r="K5" s="6">
        <v>12.1</v>
      </c>
      <c r="L5" s="6">
        <v>0</v>
      </c>
      <c r="M5" s="6">
        <v>5.0000000000000002E-5</v>
      </c>
      <c r="N5" s="6">
        <v>5.0000000000000002E-5</v>
      </c>
      <c r="O5" s="7">
        <v>12.5</v>
      </c>
      <c r="P5" s="7">
        <v>1E-4</v>
      </c>
      <c r="Q5" s="7">
        <v>1E-4</v>
      </c>
      <c r="R5" s="7">
        <v>1E-4</v>
      </c>
      <c r="S5" s="8">
        <v>12.9</v>
      </c>
      <c r="T5" s="8">
        <v>2.5000000000000001E-4</v>
      </c>
      <c r="U5" s="8">
        <v>2.5000000000000001E-4</v>
      </c>
      <c r="V5" s="8">
        <v>2.5000000000000001E-4</v>
      </c>
      <c r="W5" s="9" t="s">
        <v>35</v>
      </c>
      <c r="X5" s="9"/>
    </row>
    <row r="6" spans="1:24" x14ac:dyDescent="0.25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12">
        <v>46093</v>
      </c>
      <c r="G6" s="5">
        <v>17157</v>
      </c>
      <c r="H6" s="14" t="s">
        <v>64</v>
      </c>
      <c r="I6" s="15" t="s">
        <v>65</v>
      </c>
      <c r="J6" s="9" t="s">
        <v>36</v>
      </c>
      <c r="K6" s="6">
        <v>12.1</v>
      </c>
      <c r="L6" s="6">
        <v>0</v>
      </c>
      <c r="M6" s="6">
        <v>0</v>
      </c>
      <c r="N6" s="6">
        <v>0</v>
      </c>
      <c r="O6" s="7">
        <v>12.5</v>
      </c>
      <c r="P6" s="7">
        <v>0</v>
      </c>
      <c r="Q6" s="7">
        <v>5.0000000000000002E-5</v>
      </c>
      <c r="R6" s="7">
        <v>5.0000000000000002E-5</v>
      </c>
      <c r="S6" s="8">
        <v>12.9</v>
      </c>
      <c r="T6" s="8">
        <v>1E-4</v>
      </c>
      <c r="U6" s="8">
        <v>1E-4</v>
      </c>
      <c r="V6" s="8">
        <v>1E-4</v>
      </c>
      <c r="W6" s="9" t="s">
        <v>35</v>
      </c>
      <c r="X6" s="5"/>
    </row>
    <row r="7" spans="1:24" x14ac:dyDescent="0.25">
      <c r="A7" s="9" t="s">
        <v>24</v>
      </c>
      <c r="B7" s="9" t="s">
        <v>25</v>
      </c>
      <c r="C7" s="9" t="s">
        <v>26</v>
      </c>
      <c r="D7" s="9" t="s">
        <v>27</v>
      </c>
      <c r="E7" s="9" t="s">
        <v>28</v>
      </c>
      <c r="F7" s="12">
        <v>46093</v>
      </c>
      <c r="G7" s="5">
        <v>17141</v>
      </c>
      <c r="H7" s="9" t="s">
        <v>30</v>
      </c>
      <c r="I7" s="5">
        <v>436</v>
      </c>
      <c r="J7" s="9" t="s">
        <v>36</v>
      </c>
      <c r="K7" s="6">
        <v>8.1</v>
      </c>
      <c r="L7" s="6">
        <v>-1E-4</v>
      </c>
      <c r="M7" s="6">
        <v>-1E-4</v>
      </c>
      <c r="N7" s="6">
        <v>-1E-4</v>
      </c>
      <c r="O7" s="7">
        <v>8.5</v>
      </c>
      <c r="P7" s="6">
        <v>-1E-4</v>
      </c>
      <c r="Q7" s="6">
        <v>-1E-4</v>
      </c>
      <c r="R7" s="6">
        <v>-1E-4</v>
      </c>
      <c r="S7" s="8">
        <v>8.9</v>
      </c>
      <c r="T7" s="8">
        <v>1E-4</v>
      </c>
      <c r="U7" s="8">
        <v>2.0000000000000001E-4</v>
      </c>
      <c r="V7" s="8">
        <v>1.4999999999999999E-4</v>
      </c>
      <c r="W7" s="9" t="s">
        <v>35</v>
      </c>
      <c r="X7" s="9"/>
    </row>
    <row r="8" spans="1:24" x14ac:dyDescent="0.25">
      <c r="A8" s="9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12">
        <v>46093</v>
      </c>
      <c r="G8" s="5">
        <v>17148</v>
      </c>
      <c r="H8" s="14" t="s">
        <v>64</v>
      </c>
      <c r="I8" s="16" t="s">
        <v>66</v>
      </c>
      <c r="J8" s="9" t="s">
        <v>36</v>
      </c>
      <c r="K8" s="6">
        <v>7.1</v>
      </c>
      <c r="L8" s="6">
        <v>1E-4</v>
      </c>
      <c r="M8" s="6">
        <v>1E-4</v>
      </c>
      <c r="N8" s="6">
        <v>1E-4</v>
      </c>
      <c r="O8" s="7">
        <v>7.5</v>
      </c>
      <c r="P8" s="6">
        <v>1E-4</v>
      </c>
      <c r="Q8" s="6">
        <v>1E-4</v>
      </c>
      <c r="R8" s="6">
        <v>1E-4</v>
      </c>
      <c r="S8" s="8">
        <v>7.9</v>
      </c>
      <c r="T8" s="8">
        <v>2.0000000000000001E-4</v>
      </c>
      <c r="U8" s="8">
        <v>2.9999999999999997E-4</v>
      </c>
      <c r="V8" s="8">
        <v>2.9999999999999997E-4</v>
      </c>
      <c r="W8" s="5" t="s">
        <v>35</v>
      </c>
      <c r="X8" s="5"/>
    </row>
    <row r="9" spans="1:24" x14ac:dyDescent="0.25">
      <c r="A9" s="9" t="s">
        <v>24</v>
      </c>
      <c r="B9" s="9" t="s">
        <v>25</v>
      </c>
      <c r="C9" s="9" t="s">
        <v>26</v>
      </c>
      <c r="D9" s="9" t="s">
        <v>27</v>
      </c>
      <c r="E9" s="9" t="s">
        <v>28</v>
      </c>
      <c r="F9" s="12">
        <v>46093</v>
      </c>
      <c r="G9" s="9">
        <v>17131</v>
      </c>
      <c r="H9" s="14" t="s">
        <v>64</v>
      </c>
      <c r="I9" s="16" t="s">
        <v>67</v>
      </c>
      <c r="J9" s="9" t="s">
        <v>36</v>
      </c>
      <c r="K9" s="6">
        <v>8.1</v>
      </c>
      <c r="L9" s="8">
        <v>2.9999999999999997E-4</v>
      </c>
      <c r="M9" s="6">
        <v>3.5E-4</v>
      </c>
      <c r="N9" s="6">
        <v>3.5E-4</v>
      </c>
      <c r="O9" s="7">
        <v>8.5</v>
      </c>
      <c r="P9" s="8">
        <v>2.9999999999999997E-4</v>
      </c>
      <c r="Q9" s="8">
        <v>2.9999999999999997E-4</v>
      </c>
      <c r="R9" s="8">
        <v>2.9999999999999997E-4</v>
      </c>
      <c r="S9" s="8">
        <v>8.9</v>
      </c>
      <c r="T9" s="6">
        <v>4.0000000000000002E-4</v>
      </c>
      <c r="U9" s="6">
        <v>4.0000000000000002E-4</v>
      </c>
      <c r="V9" s="6">
        <v>4.0000000000000002E-4</v>
      </c>
      <c r="W9" s="9" t="s">
        <v>35</v>
      </c>
      <c r="X9" s="9"/>
    </row>
    <row r="10" spans="1:24" x14ac:dyDescent="0.25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28</v>
      </c>
      <c r="F10" s="12">
        <v>46095</v>
      </c>
      <c r="G10" s="5">
        <v>17037</v>
      </c>
      <c r="H10" s="16" t="s">
        <v>68</v>
      </c>
      <c r="I10" s="16" t="s">
        <v>69</v>
      </c>
      <c r="J10" s="9" t="s">
        <v>36</v>
      </c>
      <c r="K10" s="6">
        <v>10.1</v>
      </c>
      <c r="L10" s="8">
        <v>2.0000000000000001E-4</v>
      </c>
      <c r="M10" s="8">
        <v>2.0000000000000001E-4</v>
      </c>
      <c r="N10" s="8">
        <v>2.9999999999999997E-4</v>
      </c>
      <c r="O10" s="7">
        <v>10.5</v>
      </c>
      <c r="P10" s="8">
        <v>2.9999999999999997E-4</v>
      </c>
      <c r="Q10" s="8">
        <v>2.9999999999999997E-4</v>
      </c>
      <c r="R10" s="8">
        <v>2.9999999999999997E-4</v>
      </c>
      <c r="S10" s="17" t="s">
        <v>70</v>
      </c>
      <c r="T10" s="6">
        <v>4.4999999999999999E-4</v>
      </c>
      <c r="U10" s="6">
        <v>4.4999999999999999E-4</v>
      </c>
      <c r="V10" s="6">
        <v>4.4999999999999999E-4</v>
      </c>
      <c r="W10" s="5" t="s">
        <v>35</v>
      </c>
      <c r="X10" s="5"/>
    </row>
    <row r="11" spans="1:24" x14ac:dyDescent="0.25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  <c r="F11" s="12">
        <v>46095</v>
      </c>
      <c r="G11" s="9">
        <v>17030</v>
      </c>
      <c r="H11" s="9" t="s">
        <v>30</v>
      </c>
      <c r="I11" s="5">
        <v>436</v>
      </c>
      <c r="J11" s="9" t="s">
        <v>36</v>
      </c>
      <c r="K11" s="6">
        <v>6.1</v>
      </c>
      <c r="L11" s="6">
        <v>0</v>
      </c>
      <c r="M11" s="6">
        <v>0</v>
      </c>
      <c r="N11" s="6">
        <v>0</v>
      </c>
      <c r="O11" s="7">
        <v>6.5</v>
      </c>
      <c r="P11" s="8">
        <v>2.0000000000000001E-4</v>
      </c>
      <c r="Q11" s="8">
        <v>2.0000000000000001E-4</v>
      </c>
      <c r="R11" s="8">
        <v>2.0000000000000001E-4</v>
      </c>
      <c r="S11" s="8">
        <v>6.9</v>
      </c>
      <c r="T11" s="8">
        <v>3.5E-4</v>
      </c>
      <c r="U11" s="8">
        <v>3.5E-4</v>
      </c>
      <c r="V11" s="8">
        <v>3.5E-4</v>
      </c>
      <c r="W11" s="5" t="s">
        <v>35</v>
      </c>
      <c r="X11" s="9"/>
    </row>
    <row r="12" spans="1:24" x14ac:dyDescent="0.25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28</v>
      </c>
      <c r="F12" s="12">
        <v>46095</v>
      </c>
      <c r="G12" s="5">
        <v>17078</v>
      </c>
      <c r="H12" s="9" t="s">
        <v>30</v>
      </c>
      <c r="I12" s="5">
        <v>436</v>
      </c>
      <c r="J12" s="9" t="s">
        <v>36</v>
      </c>
      <c r="K12" s="6">
        <v>4.0999999999999996</v>
      </c>
      <c r="L12" s="8">
        <v>2.0000000000000001E-4</v>
      </c>
      <c r="M12" s="8">
        <v>2.0000000000000001E-4</v>
      </c>
      <c r="N12" s="8">
        <v>2.0000000000000001E-4</v>
      </c>
      <c r="O12" s="7">
        <v>4.5</v>
      </c>
      <c r="P12" s="7">
        <v>0</v>
      </c>
      <c r="Q12" s="7">
        <v>0</v>
      </c>
      <c r="R12" s="6">
        <v>-5.0000000000000001E-4</v>
      </c>
      <c r="S12" s="8">
        <v>4.9000000000000004</v>
      </c>
      <c r="T12" s="8">
        <v>0</v>
      </c>
      <c r="U12" s="7">
        <v>5.0000000000000002E-5</v>
      </c>
      <c r="V12" s="8">
        <v>0</v>
      </c>
      <c r="W12" s="5" t="s">
        <v>35</v>
      </c>
      <c r="X12" s="5"/>
    </row>
    <row r="13" spans="1:24" x14ac:dyDescent="0.25">
      <c r="A13" s="9" t="s">
        <v>24</v>
      </c>
      <c r="B13" s="9" t="s">
        <v>25</v>
      </c>
      <c r="C13" s="9" t="s">
        <v>26</v>
      </c>
      <c r="D13" s="9" t="s">
        <v>27</v>
      </c>
      <c r="E13" s="9" t="s">
        <v>28</v>
      </c>
      <c r="F13" s="12">
        <v>46093</v>
      </c>
      <c r="G13" s="9">
        <v>17001</v>
      </c>
      <c r="H13" s="9" t="s">
        <v>30</v>
      </c>
      <c r="I13" s="5">
        <v>436</v>
      </c>
      <c r="J13" s="9" t="s">
        <v>36</v>
      </c>
      <c r="K13" s="6">
        <v>7.1</v>
      </c>
      <c r="L13" s="6">
        <v>-1E-4</v>
      </c>
      <c r="M13" s="6">
        <v>-1E-4</v>
      </c>
      <c r="N13" s="6">
        <v>-5.0000000000000001E-4</v>
      </c>
      <c r="O13" s="7">
        <v>7.5</v>
      </c>
      <c r="P13" s="6">
        <v>-5.0000000000000001E-4</v>
      </c>
      <c r="Q13" s="7">
        <v>0</v>
      </c>
      <c r="R13" s="7">
        <v>0</v>
      </c>
      <c r="S13" s="8">
        <v>7.9</v>
      </c>
      <c r="T13" s="8">
        <v>2.5000000000000001E-4</v>
      </c>
      <c r="U13" s="8">
        <v>2.9999999999999997E-4</v>
      </c>
      <c r="V13" s="8">
        <v>2.9999999999999997E-4</v>
      </c>
      <c r="W13" s="5" t="s">
        <v>35</v>
      </c>
      <c r="X13" s="9"/>
    </row>
    <row r="14" spans="1:24" x14ac:dyDescent="0.25">
      <c r="A14" s="9" t="s">
        <v>24</v>
      </c>
      <c r="B14" s="9" t="s">
        <v>25</v>
      </c>
      <c r="C14" s="9" t="s">
        <v>26</v>
      </c>
      <c r="D14" s="9" t="s">
        <v>27</v>
      </c>
      <c r="E14" s="9" t="s">
        <v>28</v>
      </c>
      <c r="F14" s="12">
        <v>46093</v>
      </c>
      <c r="G14" s="5">
        <v>17026</v>
      </c>
      <c r="H14" s="9" t="s">
        <v>30</v>
      </c>
      <c r="I14" s="5">
        <v>436</v>
      </c>
      <c r="J14" s="9" t="s">
        <v>36</v>
      </c>
      <c r="K14" s="6">
        <v>7.1</v>
      </c>
      <c r="L14" s="6">
        <v>-1E-4</v>
      </c>
      <c r="M14" s="6">
        <v>-1E-4</v>
      </c>
      <c r="N14" s="6">
        <v>-1E-4</v>
      </c>
      <c r="O14" s="7">
        <v>7.5</v>
      </c>
      <c r="P14" s="6">
        <v>-1E-4</v>
      </c>
      <c r="Q14" s="6">
        <v>-1E-4</v>
      </c>
      <c r="R14" s="6">
        <v>-1E-4</v>
      </c>
      <c r="S14" s="8">
        <v>7.9</v>
      </c>
      <c r="T14" s="6">
        <v>-1E-4</v>
      </c>
      <c r="U14" s="6">
        <v>-1E-4</v>
      </c>
      <c r="V14" s="8">
        <v>-1E-4</v>
      </c>
      <c r="W14" s="5" t="s">
        <v>35</v>
      </c>
      <c r="X14" s="5"/>
    </row>
    <row r="15" spans="1:24" x14ac:dyDescent="0.25">
      <c r="A15" s="9" t="s">
        <v>24</v>
      </c>
      <c r="B15" s="9" t="s">
        <v>25</v>
      </c>
      <c r="C15" s="9" t="s">
        <v>26</v>
      </c>
      <c r="D15" s="9" t="s">
        <v>27</v>
      </c>
      <c r="E15" s="9" t="s">
        <v>28</v>
      </c>
      <c r="F15" s="12">
        <v>46093</v>
      </c>
      <c r="G15" s="9">
        <v>17060</v>
      </c>
      <c r="H15" s="9" t="s">
        <v>30</v>
      </c>
      <c r="I15" s="5">
        <v>436</v>
      </c>
      <c r="J15" s="9" t="s">
        <v>36</v>
      </c>
      <c r="K15" s="6" t="s">
        <v>32</v>
      </c>
      <c r="L15" s="6">
        <v>-5.0000000000000001E-4</v>
      </c>
      <c r="M15" s="6">
        <v>-5.0000000000000001E-4</v>
      </c>
      <c r="N15" s="6">
        <v>-5.0000000000000001E-4</v>
      </c>
      <c r="O15" s="7" t="s">
        <v>33</v>
      </c>
      <c r="P15" s="7">
        <v>0</v>
      </c>
      <c r="Q15" s="7">
        <v>5.0000000000000002E-5</v>
      </c>
      <c r="R15" s="7">
        <v>0</v>
      </c>
      <c r="S15" s="8" t="s">
        <v>34</v>
      </c>
      <c r="T15" s="8">
        <v>1E-4</v>
      </c>
      <c r="U15" s="8">
        <v>1E-4</v>
      </c>
      <c r="V15" s="8">
        <v>1E-4</v>
      </c>
      <c r="W15" s="5" t="s">
        <v>35</v>
      </c>
      <c r="X15" s="9"/>
    </row>
    <row r="16" spans="1:24" x14ac:dyDescent="0.25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28</v>
      </c>
      <c r="F16" s="18" t="s">
        <v>71</v>
      </c>
      <c r="G16" s="5">
        <v>17050</v>
      </c>
      <c r="H16" s="9" t="s">
        <v>30</v>
      </c>
      <c r="I16" s="5">
        <v>436</v>
      </c>
      <c r="J16" s="9" t="s">
        <v>36</v>
      </c>
      <c r="K16" s="6">
        <v>2.1</v>
      </c>
      <c r="L16" s="8">
        <v>2.5000000000000001E-4</v>
      </c>
      <c r="M16" s="8">
        <v>2.5000000000000001E-4</v>
      </c>
      <c r="N16" s="8">
        <v>2.5000000000000001E-4</v>
      </c>
      <c r="O16" s="7">
        <v>2.5</v>
      </c>
      <c r="P16" s="8">
        <v>2.5000000000000001E-4</v>
      </c>
      <c r="Q16" s="7">
        <v>2.0000000000000001E-4</v>
      </c>
      <c r="R16" s="8">
        <v>2.5000000000000001E-4</v>
      </c>
      <c r="S16" s="8">
        <v>2.9</v>
      </c>
      <c r="T16" s="8">
        <v>2.9999999999999997E-4</v>
      </c>
      <c r="U16" s="8">
        <v>3.5E-4</v>
      </c>
      <c r="V16" s="8">
        <v>2.9999999999999997E-4</v>
      </c>
      <c r="W16" s="5" t="s">
        <v>35</v>
      </c>
      <c r="X16" s="5"/>
    </row>
    <row r="17" spans="1:24" x14ac:dyDescent="0.25">
      <c r="A17" s="9" t="s">
        <v>24</v>
      </c>
      <c r="B17" s="9" t="s">
        <v>25</v>
      </c>
      <c r="C17" s="9" t="s">
        <v>26</v>
      </c>
      <c r="D17" s="9" t="s">
        <v>27</v>
      </c>
      <c r="E17" s="9" t="s">
        <v>28</v>
      </c>
      <c r="F17" s="18" t="s">
        <v>71</v>
      </c>
      <c r="G17" s="9">
        <v>17061</v>
      </c>
      <c r="H17" s="9" t="s">
        <v>30</v>
      </c>
      <c r="I17" s="5">
        <v>436</v>
      </c>
      <c r="J17" s="9" t="s">
        <v>36</v>
      </c>
      <c r="K17" s="16">
        <v>3.1</v>
      </c>
      <c r="L17" s="6">
        <v>0</v>
      </c>
      <c r="M17" s="6">
        <v>0</v>
      </c>
      <c r="N17" s="6">
        <v>0</v>
      </c>
      <c r="O17" s="7">
        <v>3.5</v>
      </c>
      <c r="P17" s="7">
        <v>0</v>
      </c>
      <c r="Q17" s="7">
        <v>0</v>
      </c>
      <c r="R17" s="7">
        <v>0</v>
      </c>
      <c r="S17" s="8">
        <v>3.9</v>
      </c>
      <c r="T17" s="8">
        <v>1E-3</v>
      </c>
      <c r="U17" s="8">
        <v>1E-3</v>
      </c>
      <c r="V17" s="8">
        <v>1E-3</v>
      </c>
      <c r="W17" s="15" t="s">
        <v>35</v>
      </c>
      <c r="X17" s="9"/>
    </row>
    <row r="18" spans="1:24" x14ac:dyDescent="0.25">
      <c r="A18" s="9" t="s">
        <v>24</v>
      </c>
      <c r="B18" s="9" t="s">
        <v>25</v>
      </c>
      <c r="C18" s="9" t="s">
        <v>26</v>
      </c>
      <c r="D18" s="9" t="s">
        <v>27</v>
      </c>
      <c r="E18" s="9" t="s">
        <v>28</v>
      </c>
      <c r="F18" s="13">
        <v>46094</v>
      </c>
      <c r="G18" s="5">
        <v>17073</v>
      </c>
      <c r="H18" s="9" t="s">
        <v>30</v>
      </c>
      <c r="I18" s="5">
        <v>436</v>
      </c>
      <c r="J18" s="9" t="s">
        <v>36</v>
      </c>
      <c r="K18" s="6">
        <v>0.2</v>
      </c>
      <c r="L18" s="8">
        <v>2.0000000000000001E-4</v>
      </c>
      <c r="M18" s="8">
        <v>2.0000000000000001E-4</v>
      </c>
      <c r="N18" s="8">
        <v>2.0000000000000001E-4</v>
      </c>
      <c r="O18" s="7">
        <v>0.5</v>
      </c>
      <c r="P18" s="7">
        <v>2.9999999999999997E-4</v>
      </c>
      <c r="Q18" s="7">
        <v>2.9999999999999997E-4</v>
      </c>
      <c r="R18" s="7">
        <v>2.9999999999999997E-4</v>
      </c>
      <c r="S18" s="8">
        <v>0.9</v>
      </c>
      <c r="T18" s="8">
        <v>2.0000000000000001E-4</v>
      </c>
      <c r="U18" s="8">
        <v>2.0000000000000001E-4</v>
      </c>
      <c r="V18" s="8">
        <v>2.0000000000000001E-4</v>
      </c>
      <c r="W18" s="15" t="s">
        <v>35</v>
      </c>
      <c r="X18" s="5"/>
    </row>
    <row r="19" spans="1:24" x14ac:dyDescent="0.25">
      <c r="A19" s="9" t="s">
        <v>24</v>
      </c>
      <c r="B19" s="9" t="s">
        <v>25</v>
      </c>
      <c r="C19" s="9" t="s">
        <v>26</v>
      </c>
      <c r="D19" s="9" t="s">
        <v>27</v>
      </c>
      <c r="E19" s="9" t="s">
        <v>28</v>
      </c>
      <c r="F19" s="13">
        <v>46094</v>
      </c>
      <c r="G19" s="9">
        <v>17055</v>
      </c>
      <c r="H19" s="9" t="s">
        <v>30</v>
      </c>
      <c r="I19" s="5">
        <v>436</v>
      </c>
      <c r="J19" s="9" t="s">
        <v>36</v>
      </c>
      <c r="K19" s="6">
        <v>0.2</v>
      </c>
      <c r="L19" s="6">
        <v>0</v>
      </c>
      <c r="M19" s="6">
        <v>0</v>
      </c>
      <c r="N19" s="6">
        <v>0</v>
      </c>
      <c r="O19" s="7">
        <v>0.5</v>
      </c>
      <c r="P19" s="7">
        <v>0</v>
      </c>
      <c r="Q19" s="7">
        <v>0</v>
      </c>
      <c r="R19" s="7">
        <v>0</v>
      </c>
      <c r="S19" s="8">
        <v>0.9</v>
      </c>
      <c r="T19" s="8">
        <v>0</v>
      </c>
      <c r="U19" s="8">
        <v>0</v>
      </c>
      <c r="V19" s="8">
        <v>0</v>
      </c>
      <c r="W19" s="9" t="s">
        <v>35</v>
      </c>
      <c r="X19" s="9"/>
    </row>
    <row r="20" spans="1:24" x14ac:dyDescent="0.25">
      <c r="A20" s="9" t="s">
        <v>24</v>
      </c>
      <c r="B20" s="9" t="s">
        <v>25</v>
      </c>
      <c r="C20" s="9" t="s">
        <v>26</v>
      </c>
      <c r="D20" s="9" t="s">
        <v>27</v>
      </c>
      <c r="E20" s="9" t="s">
        <v>28</v>
      </c>
      <c r="F20" s="13">
        <v>46091</v>
      </c>
      <c r="G20" s="5">
        <v>17021</v>
      </c>
      <c r="H20" s="9" t="s">
        <v>30</v>
      </c>
      <c r="I20" s="5">
        <v>436</v>
      </c>
      <c r="J20" s="9" t="s">
        <v>36</v>
      </c>
      <c r="K20" s="6">
        <v>1.1000000000000001</v>
      </c>
      <c r="L20" s="6">
        <v>0</v>
      </c>
      <c r="M20" s="6">
        <v>0</v>
      </c>
      <c r="N20" s="6">
        <v>0</v>
      </c>
      <c r="O20" s="7">
        <v>1.5</v>
      </c>
      <c r="P20" s="6">
        <v>-1E-4</v>
      </c>
      <c r="Q20" s="6">
        <v>-1E-4</v>
      </c>
      <c r="R20" s="6">
        <v>-1E-4</v>
      </c>
      <c r="S20" s="8">
        <v>1.9</v>
      </c>
      <c r="T20" s="8">
        <v>-2.0000000000000001E-4</v>
      </c>
      <c r="U20" s="8">
        <v>-2.0000000000000001E-4</v>
      </c>
      <c r="V20" s="8">
        <v>-2.0000000000000001E-4</v>
      </c>
      <c r="W20" s="5" t="s">
        <v>35</v>
      </c>
      <c r="X20" s="5"/>
    </row>
    <row r="21" spans="1:24" x14ac:dyDescent="0.25">
      <c r="A21" s="9" t="s">
        <v>24</v>
      </c>
      <c r="B21" s="9" t="s">
        <v>25</v>
      </c>
      <c r="C21" s="9" t="s">
        <v>26</v>
      </c>
      <c r="D21" s="9" t="s">
        <v>27</v>
      </c>
      <c r="E21" s="9" t="s">
        <v>28</v>
      </c>
      <c r="F21" s="13">
        <v>46091</v>
      </c>
      <c r="G21" s="5">
        <v>17023</v>
      </c>
      <c r="H21" s="9" t="s">
        <v>30</v>
      </c>
      <c r="I21" s="5">
        <v>436</v>
      </c>
      <c r="J21" s="9" t="s">
        <v>36</v>
      </c>
      <c r="K21" s="6">
        <v>1.1000000000000001</v>
      </c>
      <c r="L21" s="6">
        <v>0</v>
      </c>
      <c r="M21" s="6">
        <v>0</v>
      </c>
      <c r="N21" s="6">
        <v>0</v>
      </c>
      <c r="O21" s="7">
        <v>1.5</v>
      </c>
      <c r="P21" s="7">
        <v>0</v>
      </c>
      <c r="Q21" s="7">
        <v>0</v>
      </c>
      <c r="R21" s="7">
        <v>0</v>
      </c>
      <c r="S21" s="8">
        <v>1.9</v>
      </c>
      <c r="T21" s="8">
        <v>0</v>
      </c>
      <c r="U21" s="8">
        <v>0</v>
      </c>
      <c r="V21" s="8">
        <v>0</v>
      </c>
      <c r="W21" s="5" t="s">
        <v>35</v>
      </c>
      <c r="X21" s="9"/>
    </row>
    <row r="22" spans="1:24" x14ac:dyDescent="0.25">
      <c r="A22" s="9" t="s">
        <v>24</v>
      </c>
      <c r="B22" s="9" t="s">
        <v>25</v>
      </c>
      <c r="C22" s="9" t="s">
        <v>26</v>
      </c>
      <c r="D22" s="9" t="s">
        <v>27</v>
      </c>
      <c r="E22" s="9" t="s">
        <v>28</v>
      </c>
      <c r="F22" s="19" t="s">
        <v>72</v>
      </c>
      <c r="G22" s="5">
        <v>17024</v>
      </c>
      <c r="H22" s="9" t="s">
        <v>30</v>
      </c>
      <c r="I22" s="5">
        <v>436</v>
      </c>
      <c r="J22" s="9" t="s">
        <v>36</v>
      </c>
      <c r="K22" s="6">
        <v>1.1000000000000001</v>
      </c>
      <c r="L22" s="6">
        <v>0</v>
      </c>
      <c r="M22" s="6">
        <v>-5.0000000000000001E-4</v>
      </c>
      <c r="N22" s="6">
        <v>0</v>
      </c>
      <c r="O22" s="7">
        <v>1.5</v>
      </c>
      <c r="P22" s="6">
        <v>-1E-4</v>
      </c>
      <c r="Q22" s="6">
        <v>-1E-4</v>
      </c>
      <c r="R22" s="6">
        <v>-5.0000000000000001E-4</v>
      </c>
      <c r="S22" s="8">
        <v>1.9</v>
      </c>
      <c r="T22" s="6">
        <v>-1E-4</v>
      </c>
      <c r="U22" s="6">
        <v>-1E-4</v>
      </c>
      <c r="V22" s="6">
        <v>-1E-4</v>
      </c>
      <c r="W22" s="5" t="s">
        <v>35</v>
      </c>
      <c r="X22" s="5"/>
    </row>
    <row r="23" spans="1:24" x14ac:dyDescent="0.25">
      <c r="A23" s="9" t="s">
        <v>24</v>
      </c>
      <c r="B23" s="9" t="s">
        <v>25</v>
      </c>
      <c r="C23" s="9" t="s">
        <v>26</v>
      </c>
      <c r="D23" s="9" t="s">
        <v>27</v>
      </c>
      <c r="E23" s="9" t="s">
        <v>28</v>
      </c>
      <c r="F23" s="19" t="s">
        <v>72</v>
      </c>
      <c r="G23" s="5">
        <v>17104</v>
      </c>
      <c r="H23" s="9" t="s">
        <v>30</v>
      </c>
      <c r="I23" s="5">
        <v>436</v>
      </c>
      <c r="J23" s="9" t="s">
        <v>36</v>
      </c>
      <c r="K23" s="6">
        <v>2.1</v>
      </c>
      <c r="L23" s="6">
        <v>0</v>
      </c>
      <c r="M23" s="6">
        <v>0</v>
      </c>
      <c r="N23" s="6">
        <v>0</v>
      </c>
      <c r="O23" s="7">
        <v>2.5</v>
      </c>
      <c r="P23" s="7">
        <v>0</v>
      </c>
      <c r="Q23" s="7">
        <v>0</v>
      </c>
      <c r="R23" s="7">
        <v>0</v>
      </c>
      <c r="S23" s="8">
        <v>2.9</v>
      </c>
      <c r="T23" s="8">
        <v>0</v>
      </c>
      <c r="U23" s="8">
        <v>0</v>
      </c>
      <c r="V23" s="8">
        <v>0</v>
      </c>
      <c r="W23" s="9" t="s">
        <v>35</v>
      </c>
      <c r="X23" s="9"/>
    </row>
    <row r="24" spans="1:24" x14ac:dyDescent="0.25">
      <c r="A24" s="9" t="s">
        <v>24</v>
      </c>
      <c r="B24" s="9" t="s">
        <v>25</v>
      </c>
      <c r="C24" s="9" t="s">
        <v>26</v>
      </c>
      <c r="D24" s="9" t="s">
        <v>27</v>
      </c>
      <c r="E24" s="9" t="s">
        <v>28</v>
      </c>
      <c r="F24" s="19" t="s">
        <v>72</v>
      </c>
      <c r="G24" s="5">
        <v>17142</v>
      </c>
      <c r="H24" s="9" t="s">
        <v>30</v>
      </c>
      <c r="I24" s="5">
        <v>436</v>
      </c>
      <c r="J24" s="9" t="s">
        <v>36</v>
      </c>
      <c r="K24" s="16">
        <v>3.1</v>
      </c>
      <c r="L24" s="6">
        <v>-1E-4</v>
      </c>
      <c r="M24" s="6">
        <v>-1E-4</v>
      </c>
      <c r="N24" s="6">
        <v>-1E-4</v>
      </c>
      <c r="O24" s="7">
        <v>3.5</v>
      </c>
      <c r="P24" s="7">
        <v>5.0000000000000002E-5</v>
      </c>
      <c r="Q24" s="7">
        <v>5.0000000000000002E-5</v>
      </c>
      <c r="R24" s="7">
        <v>0</v>
      </c>
      <c r="S24" s="8">
        <v>3.9</v>
      </c>
      <c r="T24" s="8">
        <v>1E-3</v>
      </c>
      <c r="U24" s="8">
        <v>1.4999999999999999E-4</v>
      </c>
      <c r="V24" s="8">
        <v>1.4999999999999999E-4</v>
      </c>
      <c r="W24" s="5" t="s">
        <v>35</v>
      </c>
      <c r="X24" s="5"/>
    </row>
    <row r="25" spans="1:24" x14ac:dyDescent="0.25">
      <c r="A25" s="9" t="s">
        <v>24</v>
      </c>
      <c r="B25" s="9" t="s">
        <v>25</v>
      </c>
      <c r="C25" s="9" t="s">
        <v>26</v>
      </c>
      <c r="D25" s="9" t="s">
        <v>27</v>
      </c>
      <c r="E25" s="9" t="s">
        <v>28</v>
      </c>
      <c r="F25" s="19" t="s">
        <v>72</v>
      </c>
      <c r="G25" s="5">
        <v>17034</v>
      </c>
      <c r="H25" s="9" t="s">
        <v>30</v>
      </c>
      <c r="I25" s="5">
        <v>436</v>
      </c>
      <c r="J25" s="9" t="s">
        <v>36</v>
      </c>
      <c r="K25" s="6">
        <v>2.1</v>
      </c>
      <c r="L25" s="6">
        <v>0</v>
      </c>
      <c r="M25" s="6">
        <v>0</v>
      </c>
      <c r="N25" s="6">
        <v>0</v>
      </c>
      <c r="O25" s="7">
        <v>2.5</v>
      </c>
      <c r="P25" s="7">
        <v>0</v>
      </c>
      <c r="Q25" s="7">
        <v>0</v>
      </c>
      <c r="R25" s="7">
        <v>0</v>
      </c>
      <c r="S25" s="8">
        <v>2.9</v>
      </c>
      <c r="T25" s="8">
        <v>0</v>
      </c>
      <c r="U25" s="8">
        <v>0</v>
      </c>
      <c r="V25" s="8">
        <v>0</v>
      </c>
      <c r="W25" s="9" t="s">
        <v>35</v>
      </c>
      <c r="X25" s="9"/>
    </row>
    <row r="26" spans="1:24" x14ac:dyDescent="0.25">
      <c r="A26" s="9" t="s">
        <v>24</v>
      </c>
      <c r="B26" s="9" t="s">
        <v>25</v>
      </c>
      <c r="C26" s="9" t="s">
        <v>26</v>
      </c>
      <c r="D26" s="9" t="s">
        <v>27</v>
      </c>
      <c r="E26" s="9" t="s">
        <v>28</v>
      </c>
      <c r="F26" s="19" t="s">
        <v>72</v>
      </c>
      <c r="G26" s="5">
        <v>17013</v>
      </c>
      <c r="H26" s="9" t="s">
        <v>30</v>
      </c>
      <c r="I26" s="5">
        <v>436</v>
      </c>
      <c r="J26" s="9" t="s">
        <v>36</v>
      </c>
      <c r="K26" s="16">
        <v>3.1</v>
      </c>
      <c r="L26" s="7">
        <v>5.0000000000000002E-5</v>
      </c>
      <c r="M26" s="7">
        <v>5.0000000000000002E-5</v>
      </c>
      <c r="N26" s="7">
        <v>5.0000000000000002E-5</v>
      </c>
      <c r="O26" s="7">
        <v>3.5</v>
      </c>
      <c r="P26" s="7">
        <v>2.9999999999999997E-4</v>
      </c>
      <c r="Q26" s="7">
        <v>2.9999999999999997E-4</v>
      </c>
      <c r="R26" s="7">
        <v>2.9999999999999997E-4</v>
      </c>
      <c r="S26" s="8">
        <v>3.9</v>
      </c>
      <c r="T26" s="8">
        <v>4.4999999999999999E-4</v>
      </c>
      <c r="U26" s="8">
        <v>4.4999999999999999E-4</v>
      </c>
      <c r="V26" s="8">
        <v>4.4999999999999999E-4</v>
      </c>
      <c r="W26" s="5" t="s">
        <v>35</v>
      </c>
      <c r="X26" s="5"/>
    </row>
    <row r="27" spans="1:24" x14ac:dyDescent="0.25">
      <c r="A27" s="9" t="s">
        <v>24</v>
      </c>
      <c r="B27" s="9" t="s">
        <v>25</v>
      </c>
      <c r="C27" s="9" t="s">
        <v>26</v>
      </c>
      <c r="D27" s="9" t="s">
        <v>27</v>
      </c>
      <c r="E27" s="9" t="s">
        <v>28</v>
      </c>
      <c r="F27" s="19" t="s">
        <v>72</v>
      </c>
      <c r="G27" s="5">
        <v>17132</v>
      </c>
      <c r="H27" s="9" t="s">
        <v>30</v>
      </c>
      <c r="I27" s="5">
        <v>436</v>
      </c>
      <c r="J27" s="9" t="s">
        <v>36</v>
      </c>
      <c r="K27" s="6">
        <v>4.0999999999999996</v>
      </c>
      <c r="L27" s="6">
        <v>-2.0000000000000001E-4</v>
      </c>
      <c r="M27" s="6">
        <v>-2.0000000000000001E-4</v>
      </c>
      <c r="N27" s="6">
        <v>-2.0000000000000001E-4</v>
      </c>
      <c r="O27" s="7">
        <v>4.5</v>
      </c>
      <c r="P27" s="6">
        <v>-2.0000000000000001E-4</v>
      </c>
      <c r="Q27" s="6">
        <v>-2.0000000000000001E-4</v>
      </c>
      <c r="R27" s="6">
        <v>-2.0000000000000001E-4</v>
      </c>
      <c r="S27" s="8">
        <v>4.9000000000000004</v>
      </c>
      <c r="T27" s="8">
        <v>-1.4999999999999999E-4</v>
      </c>
      <c r="U27" s="6">
        <v>-2.0000000000000001E-4</v>
      </c>
      <c r="V27" s="6">
        <v>-2.0000000000000001E-4</v>
      </c>
      <c r="W27" s="9" t="s">
        <v>35</v>
      </c>
      <c r="X27" s="9"/>
    </row>
    <row r="28" spans="1:24" x14ac:dyDescent="0.25">
      <c r="A28" s="9" t="s">
        <v>24</v>
      </c>
      <c r="B28" s="9" t="s">
        <v>25</v>
      </c>
      <c r="C28" s="9" t="s">
        <v>26</v>
      </c>
      <c r="D28" s="9" t="s">
        <v>27</v>
      </c>
      <c r="E28" s="9" t="s">
        <v>28</v>
      </c>
      <c r="F28" s="19" t="s">
        <v>72</v>
      </c>
      <c r="G28" s="5">
        <v>17007</v>
      </c>
      <c r="H28" s="9" t="s">
        <v>30</v>
      </c>
      <c r="I28" s="5">
        <v>436</v>
      </c>
      <c r="J28" s="9" t="s">
        <v>36</v>
      </c>
      <c r="K28" s="6">
        <f>$K$27</f>
        <v>4.0999999999999996</v>
      </c>
      <c r="L28" s="8">
        <v>2.0000000000000001E-4</v>
      </c>
      <c r="M28" s="8">
        <v>2.0000000000000001E-4</v>
      </c>
      <c r="N28" s="6">
        <v>1.4999999999999999E-4</v>
      </c>
      <c r="O28" s="7">
        <v>4.5</v>
      </c>
      <c r="P28" s="6">
        <v>1.4999999999999999E-4</v>
      </c>
      <c r="Q28" s="6">
        <v>1E-4</v>
      </c>
      <c r="R28" s="6">
        <v>1.4999999999999999E-4</v>
      </c>
      <c r="S28" s="8">
        <v>4.9000000000000004</v>
      </c>
      <c r="T28" s="8">
        <v>2.0000000000000001E-4</v>
      </c>
      <c r="U28" s="8">
        <v>2.0000000000000001E-4</v>
      </c>
      <c r="V28" s="8">
        <v>2.0000000000000001E-4</v>
      </c>
      <c r="W28" s="5" t="s">
        <v>35</v>
      </c>
      <c r="X28" s="5"/>
    </row>
    <row r="29" spans="1:24" x14ac:dyDescent="0.25">
      <c r="A29" s="9" t="s">
        <v>24</v>
      </c>
      <c r="B29" s="9" t="s">
        <v>25</v>
      </c>
      <c r="C29" s="9" t="s">
        <v>26</v>
      </c>
      <c r="D29" s="9" t="s">
        <v>27</v>
      </c>
      <c r="E29" s="9" t="s">
        <v>28</v>
      </c>
      <c r="F29" s="19" t="s">
        <v>72</v>
      </c>
      <c r="G29" s="5">
        <v>17008</v>
      </c>
      <c r="H29" s="9" t="s">
        <v>30</v>
      </c>
      <c r="I29" s="5">
        <v>436</v>
      </c>
      <c r="J29" s="9" t="s">
        <v>36</v>
      </c>
      <c r="K29" s="6">
        <f>$K$27</f>
        <v>4.0999999999999996</v>
      </c>
      <c r="L29" s="8">
        <v>2.0000000000000001E-4</v>
      </c>
      <c r="M29" s="6">
        <v>1.4999999999999999E-4</v>
      </c>
      <c r="N29" s="8">
        <v>2.0000000000000001E-4</v>
      </c>
      <c r="O29" s="7">
        <v>4.5</v>
      </c>
      <c r="P29" s="7">
        <v>4.0000000000000002E-4</v>
      </c>
      <c r="Q29" s="7">
        <v>4.0000000000000002E-4</v>
      </c>
      <c r="R29" s="7">
        <v>4.0000000000000002E-4</v>
      </c>
      <c r="S29" s="8">
        <v>4.9000000000000004</v>
      </c>
      <c r="T29" s="8">
        <v>2.9999999999999997E-4</v>
      </c>
      <c r="U29" s="8">
        <v>2.9999999999999997E-4</v>
      </c>
      <c r="V29" s="8">
        <v>2.9999999999999997E-4</v>
      </c>
      <c r="W29" s="9" t="s">
        <v>35</v>
      </c>
      <c r="X29" s="9"/>
    </row>
    <row r="30" spans="1:24" x14ac:dyDescent="0.25">
      <c r="A30" s="9" t="s">
        <v>24</v>
      </c>
      <c r="B30" s="9" t="s">
        <v>25</v>
      </c>
      <c r="C30" s="9" t="s">
        <v>26</v>
      </c>
      <c r="D30" s="9" t="s">
        <v>27</v>
      </c>
      <c r="E30" s="9" t="s">
        <v>28</v>
      </c>
      <c r="F30" s="19" t="s">
        <v>72</v>
      </c>
      <c r="G30" s="5">
        <v>17153</v>
      </c>
      <c r="H30" s="9" t="s">
        <v>30</v>
      </c>
      <c r="I30" s="5">
        <v>436</v>
      </c>
      <c r="J30" s="9" t="s">
        <v>36</v>
      </c>
      <c r="K30" s="6">
        <v>5.0999999999999996</v>
      </c>
      <c r="L30" s="6">
        <v>-1E-4</v>
      </c>
      <c r="M30" s="6">
        <v>-1E-4</v>
      </c>
      <c r="N30" s="7">
        <v>5.0000000000000002E-5</v>
      </c>
      <c r="O30" s="7">
        <v>5.5</v>
      </c>
      <c r="P30" s="7">
        <v>5.0000000000000002E-5</v>
      </c>
      <c r="Q30" s="7">
        <v>1E-4</v>
      </c>
      <c r="R30" s="7">
        <v>1E-4</v>
      </c>
      <c r="S30" s="8">
        <v>5.9</v>
      </c>
      <c r="T30" s="8">
        <v>1E-4</v>
      </c>
      <c r="U30" s="8">
        <v>1.4999999999999999E-4</v>
      </c>
      <c r="V30" s="8">
        <v>1E-4</v>
      </c>
      <c r="W30" s="5" t="s">
        <v>35</v>
      </c>
      <c r="X30" s="5"/>
    </row>
    <row r="31" spans="1:24" x14ac:dyDescent="0.25">
      <c r="A31" s="9" t="s">
        <v>24</v>
      </c>
      <c r="B31" s="9" t="s">
        <v>25</v>
      </c>
      <c r="C31" s="9" t="s">
        <v>26</v>
      </c>
      <c r="D31" s="9" t="s">
        <v>27</v>
      </c>
      <c r="E31" s="9" t="s">
        <v>28</v>
      </c>
      <c r="F31" s="19" t="s">
        <v>72</v>
      </c>
      <c r="G31" s="5">
        <v>17160</v>
      </c>
      <c r="H31" s="14" t="s">
        <v>64</v>
      </c>
      <c r="I31" s="16" t="s">
        <v>73</v>
      </c>
      <c r="J31" s="9" t="s">
        <v>36</v>
      </c>
      <c r="K31" s="6">
        <v>5.0999999999999996</v>
      </c>
      <c r="L31" s="6">
        <v>-3.0000000000000001E-3</v>
      </c>
      <c r="M31" s="6">
        <v>-3.0000000000000001E-3</v>
      </c>
      <c r="N31" s="6">
        <v>-3.0000000000000001E-3</v>
      </c>
      <c r="O31" s="7">
        <v>5.5</v>
      </c>
      <c r="P31" s="6">
        <v>-3.0000000000000001E-3</v>
      </c>
      <c r="Q31" s="6">
        <v>-3.0000000000000001E-3</v>
      </c>
      <c r="R31" s="6">
        <v>-3.0000000000000001E-3</v>
      </c>
      <c r="S31" s="8">
        <v>5.9</v>
      </c>
      <c r="T31" s="8">
        <v>-1E-4</v>
      </c>
      <c r="U31" s="8">
        <v>-1E-4</v>
      </c>
      <c r="V31" s="8">
        <v>-1E-4</v>
      </c>
      <c r="W31" s="9" t="s">
        <v>35</v>
      </c>
      <c r="X31" s="9"/>
    </row>
    <row r="32" spans="1:24" x14ac:dyDescent="0.25">
      <c r="A32" s="9" t="s">
        <v>24</v>
      </c>
      <c r="B32" s="9" t="s">
        <v>25</v>
      </c>
      <c r="C32" s="9" t="s">
        <v>26</v>
      </c>
      <c r="D32" s="9" t="s">
        <v>27</v>
      </c>
      <c r="E32" s="9" t="s">
        <v>28</v>
      </c>
      <c r="F32" s="19" t="s">
        <v>72</v>
      </c>
      <c r="G32" s="5">
        <v>17149</v>
      </c>
      <c r="H32" s="14" t="s">
        <v>64</v>
      </c>
      <c r="I32" s="16" t="s">
        <v>74</v>
      </c>
      <c r="J32" s="9" t="s">
        <v>36</v>
      </c>
      <c r="K32" s="6">
        <v>6.1</v>
      </c>
      <c r="L32" s="6">
        <v>-1.4999999999999999E-4</v>
      </c>
      <c r="M32" s="6">
        <v>-1E-4</v>
      </c>
      <c r="N32" s="6">
        <v>-1E-4</v>
      </c>
      <c r="O32" s="7">
        <v>6.5</v>
      </c>
      <c r="P32" s="6">
        <v>-1E-4</v>
      </c>
      <c r="Q32" s="6">
        <v>-1E-4</v>
      </c>
      <c r="R32" s="6">
        <v>-1.4999999999999999E-4</v>
      </c>
      <c r="S32" s="8">
        <v>6.9</v>
      </c>
      <c r="T32" s="8">
        <v>-2.0000000000000001E-4</v>
      </c>
      <c r="U32" s="8">
        <v>-2.0000000000000001E-4</v>
      </c>
      <c r="V32" s="8">
        <v>-2.0000000000000001E-4</v>
      </c>
      <c r="W32" s="5" t="s">
        <v>35</v>
      </c>
      <c r="X32" s="5"/>
    </row>
    <row r="33" spans="1:24 16384:16384" x14ac:dyDescent="0.25">
      <c r="A33" s="9" t="s">
        <v>24</v>
      </c>
      <c r="B33" s="9" t="s">
        <v>25</v>
      </c>
      <c r="C33" s="9" t="s">
        <v>26</v>
      </c>
      <c r="D33" s="9" t="s">
        <v>27</v>
      </c>
      <c r="E33" s="9" t="s">
        <v>28</v>
      </c>
      <c r="F33" s="19" t="s">
        <v>75</v>
      </c>
      <c r="G33" s="5">
        <v>17064</v>
      </c>
      <c r="H33" s="9" t="s">
        <v>30</v>
      </c>
      <c r="I33" s="16">
        <v>436</v>
      </c>
      <c r="J33" s="9" t="s">
        <v>36</v>
      </c>
      <c r="K33" s="6">
        <v>0.2</v>
      </c>
      <c r="L33" s="6">
        <v>0</v>
      </c>
      <c r="M33" s="6">
        <v>0</v>
      </c>
      <c r="N33" s="6">
        <v>0</v>
      </c>
      <c r="O33" s="7">
        <v>0.5</v>
      </c>
      <c r="P33" s="7">
        <v>1E-4</v>
      </c>
      <c r="Q33" s="7">
        <v>1E-4</v>
      </c>
      <c r="R33" s="7">
        <v>1E-4</v>
      </c>
      <c r="S33" s="8">
        <v>0.9</v>
      </c>
      <c r="T33" s="8">
        <v>-1E-4</v>
      </c>
      <c r="U33" s="8">
        <v>-1E-4</v>
      </c>
      <c r="V33" s="8">
        <v>-1E-4</v>
      </c>
      <c r="W33" s="9" t="s">
        <v>35</v>
      </c>
      <c r="X33" s="9"/>
    </row>
    <row r="34" spans="1:24 16384:16384" x14ac:dyDescent="0.25">
      <c r="A34" s="9" t="s">
        <v>24</v>
      </c>
      <c r="B34" s="9" t="s">
        <v>25</v>
      </c>
      <c r="C34" s="9" t="s">
        <v>26</v>
      </c>
      <c r="D34" s="9" t="s">
        <v>27</v>
      </c>
      <c r="E34" s="9" t="s">
        <v>28</v>
      </c>
      <c r="F34" s="19" t="s">
        <v>75</v>
      </c>
      <c r="G34" s="5">
        <v>17086</v>
      </c>
      <c r="H34" s="9" t="s">
        <v>30</v>
      </c>
      <c r="I34" s="16">
        <v>436</v>
      </c>
      <c r="J34" s="9" t="s">
        <v>36</v>
      </c>
      <c r="K34" s="6">
        <v>0.2</v>
      </c>
      <c r="L34" s="6">
        <v>0</v>
      </c>
      <c r="M34" s="6">
        <v>0</v>
      </c>
      <c r="N34" s="6">
        <v>0</v>
      </c>
      <c r="O34" s="7">
        <v>0.5</v>
      </c>
      <c r="P34" s="7">
        <v>0</v>
      </c>
      <c r="Q34" s="7">
        <v>0</v>
      </c>
      <c r="R34" s="7">
        <v>0</v>
      </c>
      <c r="S34" s="8">
        <v>0.9</v>
      </c>
      <c r="T34" s="8">
        <v>0</v>
      </c>
      <c r="U34" s="8">
        <v>0</v>
      </c>
      <c r="V34" s="8">
        <v>0</v>
      </c>
      <c r="W34" s="5" t="s">
        <v>35</v>
      </c>
      <c r="X34" s="5"/>
    </row>
    <row r="35" spans="1:24 16384:16384" x14ac:dyDescent="0.25">
      <c r="A35" s="9" t="s">
        <v>24</v>
      </c>
      <c r="B35" s="9" t="s">
        <v>25</v>
      </c>
      <c r="C35" s="9" t="s">
        <v>26</v>
      </c>
      <c r="D35" s="9" t="s">
        <v>27</v>
      </c>
      <c r="E35" s="9" t="s">
        <v>28</v>
      </c>
      <c r="F35" s="19" t="s">
        <v>75</v>
      </c>
      <c r="G35" s="5">
        <v>17011</v>
      </c>
      <c r="H35" s="9" t="s">
        <v>30</v>
      </c>
      <c r="I35" s="16">
        <v>436</v>
      </c>
      <c r="J35" s="9" t="s">
        <v>36</v>
      </c>
      <c r="K35" s="6">
        <v>5.0999999999999996</v>
      </c>
      <c r="L35" s="7">
        <v>1E-4</v>
      </c>
      <c r="M35" s="7">
        <v>1E-4</v>
      </c>
      <c r="N35" s="7">
        <v>1E-4</v>
      </c>
      <c r="O35" s="7">
        <v>5.5</v>
      </c>
      <c r="P35" s="7">
        <v>2.0000000000000001E-4</v>
      </c>
      <c r="Q35" s="7">
        <v>2.0000000000000001E-4</v>
      </c>
      <c r="R35" s="7">
        <v>2.0000000000000001E-4</v>
      </c>
      <c r="S35" s="8">
        <v>5.9</v>
      </c>
      <c r="T35" s="8">
        <v>2.9999999999999997E-4</v>
      </c>
      <c r="U35" s="8">
        <v>2.9999999999999997E-4</v>
      </c>
      <c r="V35" s="8">
        <v>3.5E-4</v>
      </c>
      <c r="W35" s="9" t="s">
        <v>35</v>
      </c>
      <c r="X35" s="9"/>
    </row>
    <row r="36" spans="1:24 16384:16384" x14ac:dyDescent="0.25">
      <c r="A36" s="9" t="s">
        <v>24</v>
      </c>
      <c r="B36" s="9" t="s">
        <v>25</v>
      </c>
      <c r="C36" s="9" t="s">
        <v>26</v>
      </c>
      <c r="D36" s="9" t="s">
        <v>27</v>
      </c>
      <c r="E36" s="9" t="s">
        <v>28</v>
      </c>
      <c r="F36" s="19" t="s">
        <v>75</v>
      </c>
      <c r="G36" s="5">
        <v>17063</v>
      </c>
      <c r="H36" s="9" t="s">
        <v>30</v>
      </c>
      <c r="I36" s="16">
        <v>436</v>
      </c>
      <c r="J36" s="9" t="s">
        <v>36</v>
      </c>
      <c r="K36" s="6">
        <v>2.1</v>
      </c>
      <c r="L36" s="7">
        <v>1E-4</v>
      </c>
      <c r="M36" s="7">
        <v>1E-4</v>
      </c>
      <c r="N36" s="7">
        <v>1E-4</v>
      </c>
      <c r="O36" s="7">
        <v>2.5</v>
      </c>
      <c r="P36" s="7">
        <v>1E-4</v>
      </c>
      <c r="Q36" s="7">
        <v>1E-4</v>
      </c>
      <c r="R36" s="7">
        <v>1E-4</v>
      </c>
      <c r="S36" s="8">
        <v>2.9</v>
      </c>
      <c r="T36" s="8">
        <v>0</v>
      </c>
      <c r="U36" s="8">
        <v>0</v>
      </c>
      <c r="V36" s="8">
        <v>0</v>
      </c>
      <c r="W36" s="5" t="s">
        <v>35</v>
      </c>
      <c r="X36" s="5"/>
    </row>
    <row r="37" spans="1:24 16384:16384" x14ac:dyDescent="0.25">
      <c r="A37" s="9" t="s">
        <v>24</v>
      </c>
      <c r="B37" s="9" t="s">
        <v>25</v>
      </c>
      <c r="C37" s="9" t="s">
        <v>26</v>
      </c>
      <c r="D37" s="9" t="s">
        <v>27</v>
      </c>
      <c r="E37" s="9" t="s">
        <v>28</v>
      </c>
      <c r="F37" s="19" t="s">
        <v>75</v>
      </c>
      <c r="G37" s="5">
        <v>17002</v>
      </c>
      <c r="H37" s="9" t="s">
        <v>30</v>
      </c>
      <c r="I37" s="16">
        <v>436</v>
      </c>
      <c r="J37" s="9" t="s">
        <v>36</v>
      </c>
      <c r="K37" s="6">
        <f>$K$27</f>
        <v>4.0999999999999996</v>
      </c>
      <c r="L37" s="6">
        <v>0</v>
      </c>
      <c r="M37" s="6">
        <v>0</v>
      </c>
      <c r="N37" s="6">
        <v>0</v>
      </c>
      <c r="O37" s="7">
        <v>4.5</v>
      </c>
      <c r="P37" s="7">
        <v>1E-4</v>
      </c>
      <c r="Q37" s="7">
        <v>1E-4</v>
      </c>
      <c r="R37" s="7">
        <v>1E-4</v>
      </c>
      <c r="S37" s="8">
        <v>4.9000000000000004</v>
      </c>
      <c r="T37" s="7">
        <v>2.0000000000000001E-4</v>
      </c>
      <c r="U37" s="7">
        <v>2.0000000000000001E-4</v>
      </c>
      <c r="V37" s="8">
        <v>2.0000000000000001E-4</v>
      </c>
      <c r="W37" s="9" t="s">
        <v>35</v>
      </c>
      <c r="X37" s="9"/>
    </row>
    <row r="38" spans="1:24 16384:16384" x14ac:dyDescent="0.25">
      <c r="A38" s="9" t="s">
        <v>24</v>
      </c>
      <c r="B38" s="9" t="s">
        <v>25</v>
      </c>
      <c r="C38" s="9" t="s">
        <v>26</v>
      </c>
      <c r="D38" s="9" t="s">
        <v>27</v>
      </c>
      <c r="E38" s="9" t="s">
        <v>28</v>
      </c>
      <c r="F38" s="19" t="s">
        <v>75</v>
      </c>
      <c r="G38" s="5">
        <v>17049</v>
      </c>
      <c r="H38" s="9" t="s">
        <v>30</v>
      </c>
      <c r="I38" s="16">
        <v>436</v>
      </c>
      <c r="J38" s="9" t="s">
        <v>36</v>
      </c>
      <c r="K38" s="6">
        <v>3.1</v>
      </c>
      <c r="L38" s="6">
        <v>1E-4</v>
      </c>
      <c r="M38" s="6">
        <v>1E-4</v>
      </c>
      <c r="N38" s="6">
        <v>1E-4</v>
      </c>
      <c r="O38" s="7">
        <v>3.5</v>
      </c>
      <c r="P38" s="7">
        <v>2.0000000000000001E-4</v>
      </c>
      <c r="Q38" s="7">
        <v>2.0000000000000001E-4</v>
      </c>
      <c r="R38" s="7">
        <v>2.0000000000000001E-4</v>
      </c>
      <c r="S38" s="8">
        <v>3.9</v>
      </c>
      <c r="T38" s="8">
        <v>2.9999999999999997E-4</v>
      </c>
      <c r="U38" s="8">
        <v>2.9999999999999997E-4</v>
      </c>
      <c r="V38" s="8">
        <v>2.9999999999999997E-4</v>
      </c>
      <c r="W38" s="5" t="s">
        <v>35</v>
      </c>
      <c r="X38" s="5"/>
    </row>
    <row r="39" spans="1:24 16384:16384" x14ac:dyDescent="0.25">
      <c r="A39" s="9" t="s">
        <v>24</v>
      </c>
      <c r="B39" s="9" t="s">
        <v>25</v>
      </c>
      <c r="C39" s="9" t="s">
        <v>26</v>
      </c>
      <c r="D39" s="9" t="s">
        <v>27</v>
      </c>
      <c r="E39" s="9" t="s">
        <v>28</v>
      </c>
      <c r="F39" s="19" t="s">
        <v>75</v>
      </c>
      <c r="G39" s="5">
        <v>17098</v>
      </c>
      <c r="H39" s="9" t="s">
        <v>30</v>
      </c>
      <c r="I39" s="16">
        <v>436</v>
      </c>
      <c r="J39" s="9" t="s">
        <v>36</v>
      </c>
      <c r="K39" s="6">
        <v>1.1000000000000001</v>
      </c>
      <c r="L39" s="6">
        <v>1E-4</v>
      </c>
      <c r="M39" s="6">
        <v>1E-4</v>
      </c>
      <c r="N39" s="6">
        <v>1E-4</v>
      </c>
      <c r="O39" s="7">
        <v>1.5</v>
      </c>
      <c r="P39" s="6">
        <v>1E-4</v>
      </c>
      <c r="Q39" s="6">
        <v>1E-4</v>
      </c>
      <c r="R39" s="6">
        <v>1E-4</v>
      </c>
      <c r="S39" s="8">
        <v>1.9</v>
      </c>
      <c r="T39" s="6">
        <v>1E-4</v>
      </c>
      <c r="U39" s="6">
        <v>1E-4</v>
      </c>
      <c r="V39" s="6">
        <v>1E-4</v>
      </c>
      <c r="W39" s="9" t="s">
        <v>35</v>
      </c>
      <c r="X39" s="9"/>
      <c r="XFD39" s="6"/>
    </row>
    <row r="40" spans="1:24 16384:16384" x14ac:dyDescent="0.25">
      <c r="A40" s="9" t="s">
        <v>24</v>
      </c>
      <c r="B40" s="9" t="s">
        <v>25</v>
      </c>
      <c r="C40" s="9" t="s">
        <v>26</v>
      </c>
      <c r="D40" s="9" t="s">
        <v>27</v>
      </c>
      <c r="E40" s="9" t="s">
        <v>28</v>
      </c>
      <c r="F40" s="19" t="s">
        <v>75</v>
      </c>
      <c r="G40" s="5">
        <v>17074</v>
      </c>
      <c r="H40" s="9" t="s">
        <v>30</v>
      </c>
      <c r="I40" s="16">
        <v>436</v>
      </c>
      <c r="J40" s="9" t="s">
        <v>36</v>
      </c>
      <c r="K40" s="6">
        <v>1.1000000000000001</v>
      </c>
      <c r="L40" s="6">
        <v>1E-4</v>
      </c>
      <c r="M40" s="6">
        <v>1E-4</v>
      </c>
      <c r="N40" s="6">
        <v>1E-4</v>
      </c>
      <c r="O40" s="7">
        <v>1.5</v>
      </c>
      <c r="P40" s="6">
        <v>1E-4</v>
      </c>
      <c r="Q40" s="6">
        <v>1E-4</v>
      </c>
      <c r="R40" s="6">
        <v>1E-4</v>
      </c>
      <c r="S40" s="8">
        <v>1.9</v>
      </c>
      <c r="T40" s="6">
        <v>1E-4</v>
      </c>
      <c r="U40" s="6">
        <v>1E-4</v>
      </c>
      <c r="V40" s="6">
        <v>1E-4</v>
      </c>
      <c r="W40" s="9" t="s">
        <v>35</v>
      </c>
      <c r="X40" s="5"/>
    </row>
    <row r="41" spans="1:24 16384:16384" x14ac:dyDescent="0.25">
      <c r="A41" s="9" t="s">
        <v>24</v>
      </c>
      <c r="B41" s="9" t="s">
        <v>25</v>
      </c>
      <c r="C41" s="9" t="s">
        <v>26</v>
      </c>
      <c r="D41" s="9" t="s">
        <v>27</v>
      </c>
      <c r="E41" s="9" t="s">
        <v>28</v>
      </c>
      <c r="F41" s="19" t="s">
        <v>76</v>
      </c>
      <c r="G41" s="5">
        <v>17167</v>
      </c>
      <c r="H41" s="14" t="s">
        <v>64</v>
      </c>
      <c r="I41" s="16" t="s">
        <v>77</v>
      </c>
      <c r="J41" s="9" t="s">
        <v>36</v>
      </c>
      <c r="K41" s="6">
        <v>0.2</v>
      </c>
      <c r="L41" s="6">
        <v>0</v>
      </c>
      <c r="M41" s="6">
        <v>0</v>
      </c>
      <c r="N41" s="6">
        <v>0</v>
      </c>
      <c r="O41" s="7">
        <v>0.5</v>
      </c>
      <c r="P41" s="7">
        <v>0</v>
      </c>
      <c r="Q41" s="7">
        <v>0</v>
      </c>
      <c r="R41" s="7">
        <v>0</v>
      </c>
      <c r="S41" s="8">
        <v>0.9</v>
      </c>
      <c r="T41" s="8">
        <v>0</v>
      </c>
      <c r="U41" s="8">
        <v>0</v>
      </c>
      <c r="V41" s="8">
        <v>0</v>
      </c>
      <c r="W41" s="9" t="s">
        <v>35</v>
      </c>
      <c r="X41" s="9"/>
    </row>
    <row r="42" spans="1:24 16384:16384" x14ac:dyDescent="0.25">
      <c r="A42" s="9" t="s">
        <v>24</v>
      </c>
      <c r="B42" s="9" t="s">
        <v>25</v>
      </c>
      <c r="C42" s="9" t="s">
        <v>26</v>
      </c>
      <c r="D42" s="9" t="s">
        <v>27</v>
      </c>
      <c r="E42" s="9" t="s">
        <v>28</v>
      </c>
      <c r="F42" s="19" t="s">
        <v>76</v>
      </c>
      <c r="G42" s="5">
        <v>17168</v>
      </c>
      <c r="H42" s="14" t="s">
        <v>64</v>
      </c>
      <c r="I42" s="16" t="s">
        <v>77</v>
      </c>
      <c r="J42" s="9" t="s">
        <v>36</v>
      </c>
      <c r="K42" s="6">
        <v>0.2</v>
      </c>
      <c r="L42" s="6">
        <v>0</v>
      </c>
      <c r="M42" s="6">
        <v>0</v>
      </c>
      <c r="N42" s="6">
        <v>0</v>
      </c>
      <c r="O42" s="7">
        <v>0.5</v>
      </c>
      <c r="P42" s="7">
        <v>0</v>
      </c>
      <c r="Q42" s="7">
        <v>0</v>
      </c>
      <c r="R42" s="7">
        <v>0</v>
      </c>
      <c r="S42" s="8">
        <v>0.9</v>
      </c>
      <c r="T42" s="8">
        <v>0</v>
      </c>
      <c r="U42" s="8">
        <v>0</v>
      </c>
      <c r="V42" s="8">
        <v>0</v>
      </c>
      <c r="W42" s="9" t="s">
        <v>35</v>
      </c>
      <c r="X42" s="5"/>
    </row>
    <row r="43" spans="1:24 16384:16384" x14ac:dyDescent="0.25">
      <c r="A43" s="9" t="s">
        <v>24</v>
      </c>
      <c r="B43" s="9" t="s">
        <v>25</v>
      </c>
      <c r="C43" s="9" t="s">
        <v>26</v>
      </c>
      <c r="D43" s="9" t="s">
        <v>27</v>
      </c>
      <c r="E43" s="9" t="s">
        <v>28</v>
      </c>
      <c r="F43" s="19" t="s">
        <v>76</v>
      </c>
      <c r="G43" s="5">
        <v>17127</v>
      </c>
      <c r="H43" s="9" t="s">
        <v>30</v>
      </c>
      <c r="I43" s="16">
        <v>486</v>
      </c>
      <c r="J43" s="9" t="s">
        <v>36</v>
      </c>
      <c r="K43" s="6">
        <v>5.0999999999999996</v>
      </c>
      <c r="L43" s="6">
        <v>0</v>
      </c>
      <c r="M43" s="6">
        <v>0</v>
      </c>
      <c r="N43" s="6">
        <v>0</v>
      </c>
      <c r="O43" s="7">
        <v>5.5</v>
      </c>
      <c r="P43" s="7">
        <v>0</v>
      </c>
      <c r="Q43" s="7">
        <v>0</v>
      </c>
      <c r="R43" s="7">
        <v>0</v>
      </c>
      <c r="S43" s="8">
        <v>5.9</v>
      </c>
      <c r="T43" s="8">
        <v>0</v>
      </c>
      <c r="U43" s="8">
        <v>0</v>
      </c>
      <c r="V43" s="8">
        <v>0</v>
      </c>
      <c r="W43" s="9" t="s">
        <v>35</v>
      </c>
      <c r="X43" s="9"/>
    </row>
    <row r="44" spans="1:24 16384:16384" x14ac:dyDescent="0.25">
      <c r="A44" s="9" t="s">
        <v>24</v>
      </c>
      <c r="B44" s="9" t="s">
        <v>25</v>
      </c>
      <c r="C44" s="9" t="s">
        <v>26</v>
      </c>
      <c r="D44" s="9" t="s">
        <v>27</v>
      </c>
      <c r="E44" s="9" t="s">
        <v>28</v>
      </c>
      <c r="F44" s="19" t="s">
        <v>78</v>
      </c>
      <c r="G44" s="5">
        <v>17090</v>
      </c>
      <c r="H44" s="9" t="s">
        <v>30</v>
      </c>
      <c r="I44" s="16">
        <v>211</v>
      </c>
      <c r="J44" s="9" t="s">
        <v>36</v>
      </c>
      <c r="K44" s="6">
        <v>0.2</v>
      </c>
      <c r="L44" s="6">
        <v>0</v>
      </c>
      <c r="M44" s="6">
        <v>0</v>
      </c>
      <c r="N44" s="6">
        <v>0</v>
      </c>
      <c r="O44" s="7">
        <v>0.5</v>
      </c>
      <c r="P44" s="7">
        <v>0</v>
      </c>
      <c r="Q44" s="7">
        <v>0</v>
      </c>
      <c r="R44" s="7">
        <v>0</v>
      </c>
      <c r="S44" s="8">
        <v>0.9</v>
      </c>
      <c r="T44" s="8">
        <v>-1E-4</v>
      </c>
      <c r="U44" s="8">
        <v>-1E-4</v>
      </c>
      <c r="V44" s="8">
        <v>-1E-4</v>
      </c>
      <c r="W44" s="8" t="s">
        <v>35</v>
      </c>
      <c r="X44" s="5"/>
    </row>
    <row r="45" spans="1:24 16384:16384" x14ac:dyDescent="0.25">
      <c r="A45" s="9" t="s">
        <v>24</v>
      </c>
      <c r="B45" s="9" t="s">
        <v>25</v>
      </c>
      <c r="C45" s="9" t="s">
        <v>26</v>
      </c>
      <c r="D45" s="9" t="s">
        <v>27</v>
      </c>
      <c r="E45" s="9" t="s">
        <v>28</v>
      </c>
      <c r="F45" s="19" t="s">
        <v>78</v>
      </c>
      <c r="G45" s="9">
        <v>17095</v>
      </c>
      <c r="H45" s="9" t="s">
        <v>30</v>
      </c>
      <c r="I45" s="9">
        <v>436</v>
      </c>
      <c r="J45" s="9" t="s">
        <v>36</v>
      </c>
      <c r="K45" s="6">
        <v>0.2</v>
      </c>
      <c r="L45" s="6">
        <v>0</v>
      </c>
      <c r="M45" s="6">
        <v>0</v>
      </c>
      <c r="N45" s="6">
        <v>0</v>
      </c>
      <c r="O45" s="7">
        <v>0.5</v>
      </c>
      <c r="P45" s="7">
        <v>0</v>
      </c>
      <c r="Q45" s="7">
        <v>0</v>
      </c>
      <c r="R45" s="7">
        <v>0</v>
      </c>
      <c r="S45" s="8">
        <v>0.9</v>
      </c>
      <c r="T45" s="8">
        <v>-1E-4</v>
      </c>
      <c r="U45" s="8">
        <v>-1E-4</v>
      </c>
      <c r="V45" s="8">
        <v>-1E-4</v>
      </c>
      <c r="W45" s="8" t="s">
        <v>35</v>
      </c>
      <c r="X45" s="9"/>
    </row>
    <row r="46" spans="1:24 16384:16384" x14ac:dyDescent="0.25">
      <c r="A46" s="9" t="s">
        <v>24</v>
      </c>
      <c r="B46" s="9" t="s">
        <v>25</v>
      </c>
      <c r="C46" s="9" t="s">
        <v>26</v>
      </c>
      <c r="D46" s="9" t="s">
        <v>27</v>
      </c>
      <c r="E46" s="9" t="s">
        <v>28</v>
      </c>
      <c r="F46" s="19" t="s">
        <v>78</v>
      </c>
      <c r="G46" s="5">
        <v>17071</v>
      </c>
      <c r="H46" s="9" t="s">
        <v>30</v>
      </c>
      <c r="I46" s="9">
        <v>436</v>
      </c>
      <c r="J46" s="9" t="s">
        <v>36</v>
      </c>
      <c r="K46" s="6">
        <v>0.2</v>
      </c>
      <c r="L46" s="6">
        <v>0</v>
      </c>
      <c r="M46" s="6">
        <v>0</v>
      </c>
      <c r="N46" s="6">
        <v>0</v>
      </c>
      <c r="O46" s="7">
        <v>0.5</v>
      </c>
      <c r="P46" s="7">
        <v>0</v>
      </c>
      <c r="Q46" s="7">
        <v>0</v>
      </c>
      <c r="R46" s="7">
        <v>0</v>
      </c>
      <c r="S46" s="8">
        <v>0.9</v>
      </c>
      <c r="T46" s="8">
        <v>-1E-4</v>
      </c>
      <c r="U46" s="8">
        <v>-1E-4</v>
      </c>
      <c r="V46" s="8">
        <v>-1E-4</v>
      </c>
      <c r="W46" s="8" t="s">
        <v>35</v>
      </c>
      <c r="X46" s="5"/>
    </row>
    <row r="47" spans="1:24 16384:16384" x14ac:dyDescent="0.25">
      <c r="A47" s="9" t="s">
        <v>24</v>
      </c>
      <c r="B47" s="9" t="s">
        <v>25</v>
      </c>
      <c r="C47" s="9" t="s">
        <v>26</v>
      </c>
      <c r="D47" s="9" t="s">
        <v>27</v>
      </c>
      <c r="E47" s="9" t="s">
        <v>28</v>
      </c>
      <c r="F47" s="19" t="s">
        <v>78</v>
      </c>
      <c r="G47" s="9">
        <v>17057</v>
      </c>
      <c r="H47" s="9" t="s">
        <v>68</v>
      </c>
      <c r="I47" s="9" t="s">
        <v>69</v>
      </c>
      <c r="J47" s="9" t="s">
        <v>36</v>
      </c>
      <c r="K47" s="6">
        <v>0.2</v>
      </c>
      <c r="L47" s="6">
        <v>0</v>
      </c>
      <c r="M47" s="6">
        <v>0</v>
      </c>
      <c r="N47" s="6">
        <v>0</v>
      </c>
      <c r="O47" s="7">
        <v>0.5</v>
      </c>
      <c r="P47" s="6">
        <v>1E-4</v>
      </c>
      <c r="Q47" s="6">
        <v>1E-4</v>
      </c>
      <c r="R47" s="6">
        <v>1E-4</v>
      </c>
      <c r="S47" s="8">
        <v>0.9</v>
      </c>
      <c r="T47" s="8">
        <v>0</v>
      </c>
      <c r="U47" s="8">
        <v>0</v>
      </c>
      <c r="V47" s="8">
        <v>0</v>
      </c>
      <c r="W47" s="9" t="s">
        <v>35</v>
      </c>
      <c r="X47" s="9"/>
    </row>
    <row r="48" spans="1:24 16384:16384" x14ac:dyDescent="0.25">
      <c r="A48" s="9" t="s">
        <v>24</v>
      </c>
      <c r="B48" s="9" t="s">
        <v>25</v>
      </c>
      <c r="C48" s="9" t="s">
        <v>26</v>
      </c>
      <c r="D48" s="9" t="s">
        <v>27</v>
      </c>
      <c r="E48" s="9" t="s">
        <v>28</v>
      </c>
      <c r="F48" s="19" t="s">
        <v>78</v>
      </c>
      <c r="G48" s="5">
        <v>17109</v>
      </c>
      <c r="H48" s="9" t="s">
        <v>30</v>
      </c>
      <c r="I48" s="5">
        <v>436</v>
      </c>
      <c r="J48" s="9" t="s">
        <v>36</v>
      </c>
      <c r="K48" s="6">
        <v>0.2</v>
      </c>
      <c r="L48" s="6">
        <v>-1E-4</v>
      </c>
      <c r="M48" s="6">
        <v>-1E-4</v>
      </c>
      <c r="N48" s="6">
        <v>-1E-4</v>
      </c>
      <c r="O48" s="7">
        <v>0.5</v>
      </c>
      <c r="P48" s="6">
        <v>-1E-4</v>
      </c>
      <c r="Q48" s="6">
        <v>-1E-4</v>
      </c>
      <c r="R48" s="6">
        <v>-1E-4</v>
      </c>
      <c r="S48" s="8">
        <v>0.9</v>
      </c>
      <c r="T48" s="6">
        <v>-1E-4</v>
      </c>
      <c r="U48" s="6">
        <v>-1E-4</v>
      </c>
      <c r="V48" s="6">
        <v>-1E-4</v>
      </c>
      <c r="W48" s="5" t="s">
        <v>35</v>
      </c>
      <c r="X48" s="5"/>
    </row>
    <row r="49" spans="1:24" x14ac:dyDescent="0.25">
      <c r="A49" s="9" t="s">
        <v>82</v>
      </c>
      <c r="B49" s="9" t="s">
        <v>25</v>
      </c>
      <c r="C49" s="9" t="s">
        <v>26</v>
      </c>
      <c r="D49" s="9" t="s">
        <v>27</v>
      </c>
      <c r="E49" s="9" t="s">
        <v>28</v>
      </c>
      <c r="F49" s="19" t="s">
        <v>78</v>
      </c>
      <c r="G49" s="9">
        <v>40701</v>
      </c>
      <c r="H49" s="9" t="s">
        <v>68</v>
      </c>
      <c r="I49" s="9" t="s">
        <v>69</v>
      </c>
      <c r="J49" s="9" t="s">
        <v>36</v>
      </c>
      <c r="K49" s="6">
        <v>0.1</v>
      </c>
      <c r="L49" s="6">
        <v>-2.0000000000000001E-4</v>
      </c>
      <c r="M49" s="6">
        <v>-2.0000000000000001E-4</v>
      </c>
      <c r="N49" s="6">
        <v>-2.0000000000000001E-4</v>
      </c>
      <c r="O49" s="7">
        <v>0.5</v>
      </c>
      <c r="P49" s="7">
        <v>-1.4999999999999999E-4</v>
      </c>
      <c r="Q49" s="6">
        <v>-1E-4</v>
      </c>
      <c r="R49" s="7">
        <v>-1.4999999999999999E-4</v>
      </c>
      <c r="S49" s="8">
        <v>0.9</v>
      </c>
      <c r="T49" s="6">
        <v>-2.0000000000000001E-4</v>
      </c>
      <c r="U49" s="6">
        <v>-2.0000000000000001E-4</v>
      </c>
      <c r="V49" s="6">
        <v>-2.0000000000000001E-4</v>
      </c>
      <c r="W49" s="9" t="s">
        <v>35</v>
      </c>
      <c r="X49" s="9"/>
    </row>
    <row r="50" spans="1:24" x14ac:dyDescent="0.25">
      <c r="A50" s="9" t="s">
        <v>82</v>
      </c>
      <c r="B50" s="9" t="s">
        <v>25</v>
      </c>
      <c r="C50" s="9" t="s">
        <v>26</v>
      </c>
      <c r="D50" s="9" t="s">
        <v>27</v>
      </c>
      <c r="E50" s="9" t="s">
        <v>28</v>
      </c>
      <c r="F50" s="19" t="s">
        <v>78</v>
      </c>
      <c r="G50" s="5">
        <v>40704</v>
      </c>
      <c r="H50" s="9" t="s">
        <v>68</v>
      </c>
      <c r="I50" s="9" t="s">
        <v>69</v>
      </c>
      <c r="J50" s="9" t="s">
        <v>36</v>
      </c>
      <c r="K50" s="6">
        <v>0.1</v>
      </c>
      <c r="L50" s="6">
        <v>-1E-4</v>
      </c>
      <c r="M50" s="6">
        <v>-1E-4</v>
      </c>
      <c r="N50" s="6">
        <v>-1E-4</v>
      </c>
      <c r="O50" s="7">
        <v>0.5</v>
      </c>
      <c r="P50" s="7">
        <v>0</v>
      </c>
      <c r="Q50" s="7">
        <v>0</v>
      </c>
      <c r="R50" s="7">
        <v>0</v>
      </c>
      <c r="S50" s="8">
        <v>0.9</v>
      </c>
      <c r="T50" s="6">
        <v>1E-4</v>
      </c>
      <c r="U50" s="6">
        <v>1E-4</v>
      </c>
      <c r="V50" s="6">
        <v>1E-4</v>
      </c>
      <c r="W50" s="9" t="s">
        <v>35</v>
      </c>
      <c r="X50" s="5"/>
    </row>
    <row r="51" spans="1:24" x14ac:dyDescent="0.25">
      <c r="A51" s="9" t="s">
        <v>82</v>
      </c>
      <c r="B51" s="9" t="s">
        <v>25</v>
      </c>
      <c r="C51" s="9" t="s">
        <v>26</v>
      </c>
      <c r="D51" s="9" t="s">
        <v>27</v>
      </c>
      <c r="E51" s="9" t="s">
        <v>28</v>
      </c>
      <c r="F51" s="19" t="s">
        <v>78</v>
      </c>
      <c r="G51" s="9">
        <v>40702</v>
      </c>
      <c r="H51" s="9" t="s">
        <v>68</v>
      </c>
      <c r="I51" s="9" t="s">
        <v>69</v>
      </c>
      <c r="J51" s="9" t="s">
        <v>36</v>
      </c>
      <c r="K51" s="6">
        <v>0.1</v>
      </c>
      <c r="L51" s="6">
        <v>-1E-4</v>
      </c>
      <c r="M51" s="6">
        <v>-1E-4</v>
      </c>
      <c r="N51" s="6">
        <v>-1E-4</v>
      </c>
      <c r="O51" s="7">
        <v>0.5</v>
      </c>
      <c r="P51" s="7">
        <v>-1.4999999999999999E-4</v>
      </c>
      <c r="Q51" s="7">
        <v>-1.4999999999999999E-4</v>
      </c>
      <c r="R51" s="7">
        <v>-1.4999999999999999E-4</v>
      </c>
      <c r="S51" s="8">
        <v>0.9</v>
      </c>
      <c r="T51" s="8">
        <v>-2.5000000000000001E-4</v>
      </c>
      <c r="U51" s="8">
        <v>-2.5000000000000001E-4</v>
      </c>
      <c r="V51" s="8">
        <v>-2E-3</v>
      </c>
      <c r="W51" s="9" t="s">
        <v>35</v>
      </c>
      <c r="X51" s="9"/>
    </row>
    <row r="52" spans="1:24" x14ac:dyDescent="0.25">
      <c r="A52" s="9" t="s">
        <v>82</v>
      </c>
      <c r="B52" s="9" t="s">
        <v>25</v>
      </c>
      <c r="C52" s="9" t="s">
        <v>26</v>
      </c>
      <c r="D52" s="9" t="s">
        <v>27</v>
      </c>
      <c r="E52" s="9" t="s">
        <v>28</v>
      </c>
      <c r="F52" s="19" t="s">
        <v>78</v>
      </c>
      <c r="G52" s="9">
        <v>40700</v>
      </c>
      <c r="H52" s="9" t="s">
        <v>68</v>
      </c>
      <c r="I52" s="9" t="s">
        <v>69</v>
      </c>
      <c r="J52" s="9" t="s">
        <v>36</v>
      </c>
      <c r="K52" s="6">
        <v>0.1</v>
      </c>
      <c r="L52" s="6">
        <v>-4.0000000000000002E-4</v>
      </c>
      <c r="M52" s="6">
        <v>-3.0000000000000001E-3</v>
      </c>
      <c r="N52" s="6">
        <v>-4.0000000000000002E-4</v>
      </c>
      <c r="O52" s="7">
        <v>0.5</v>
      </c>
      <c r="P52" s="6">
        <v>-3.0000000000000001E-3</v>
      </c>
      <c r="Q52" s="6">
        <v>-3.0000000000000001E-3</v>
      </c>
      <c r="R52" s="6">
        <v>-3.0000000000000001E-3</v>
      </c>
      <c r="S52" s="8">
        <v>0.9</v>
      </c>
      <c r="T52" s="6">
        <v>-3.0000000000000001E-3</v>
      </c>
      <c r="U52" s="6">
        <v>-4.0000000000000002E-4</v>
      </c>
      <c r="V52" s="6">
        <v>-4.0000000000000002E-4</v>
      </c>
      <c r="W52" s="9" t="s">
        <v>35</v>
      </c>
    </row>
    <row r="53" spans="1:24" x14ac:dyDescent="0.25">
      <c r="A53" s="9" t="s">
        <v>83</v>
      </c>
      <c r="B53" s="9">
        <v>59498</v>
      </c>
      <c r="C53" s="9" t="s">
        <v>26</v>
      </c>
      <c r="D53" s="9" t="s">
        <v>27</v>
      </c>
      <c r="E53" s="9" t="s">
        <v>28</v>
      </c>
      <c r="F53" s="19" t="s">
        <v>79</v>
      </c>
      <c r="G53" s="9">
        <v>17120</v>
      </c>
      <c r="H53" s="9" t="s">
        <v>30</v>
      </c>
      <c r="I53" s="9">
        <v>733</v>
      </c>
      <c r="J53" s="9" t="s">
        <v>36</v>
      </c>
      <c r="K53" s="6">
        <v>0.2</v>
      </c>
      <c r="L53" s="6">
        <v>-5.0000000000000002E-5</v>
      </c>
      <c r="M53" s="6">
        <v>-5.0000000000000002E-5</v>
      </c>
      <c r="N53" s="6">
        <v>-5.0000000000000002E-5</v>
      </c>
      <c r="O53" s="7">
        <v>0.5</v>
      </c>
      <c r="P53" s="6">
        <v>-5.0000000000000002E-5</v>
      </c>
      <c r="Q53" s="6">
        <v>-5.0000000000000002E-5</v>
      </c>
      <c r="R53" s="6">
        <v>-5.0000000000000002E-5</v>
      </c>
      <c r="S53" s="8">
        <v>0.9</v>
      </c>
      <c r="T53" s="6">
        <v>-5.0000000000000002E-5</v>
      </c>
      <c r="U53" s="6">
        <v>-5.0000000000000002E-5</v>
      </c>
      <c r="V53" s="6">
        <v>-5.0000000000000002E-5</v>
      </c>
      <c r="W53" s="9" t="s">
        <v>35</v>
      </c>
    </row>
    <row r="54" spans="1:24" x14ac:dyDescent="0.25">
      <c r="A54" s="9" t="s">
        <v>24</v>
      </c>
      <c r="B54" s="9" t="s">
        <v>25</v>
      </c>
      <c r="C54" s="9" t="s">
        <v>26</v>
      </c>
      <c r="D54" s="9" t="s">
        <v>27</v>
      </c>
      <c r="E54" s="9" t="s">
        <v>28</v>
      </c>
      <c r="F54" s="19" t="s">
        <v>79</v>
      </c>
      <c r="G54" s="9">
        <v>17099</v>
      </c>
      <c r="H54" s="9" t="s">
        <v>30</v>
      </c>
      <c r="I54" s="9">
        <v>436</v>
      </c>
      <c r="J54" s="9" t="s">
        <v>36</v>
      </c>
      <c r="K54" s="6">
        <v>0.2</v>
      </c>
      <c r="L54" s="6">
        <v>1E-4</v>
      </c>
      <c r="M54" s="6">
        <v>1E-4</v>
      </c>
      <c r="N54" s="6">
        <v>1E-4</v>
      </c>
      <c r="O54" s="7">
        <v>0.5</v>
      </c>
      <c r="P54" s="7">
        <v>0</v>
      </c>
      <c r="Q54" s="7">
        <v>0</v>
      </c>
      <c r="R54" s="7">
        <v>0</v>
      </c>
      <c r="S54" s="8">
        <v>0.9</v>
      </c>
      <c r="T54" s="8">
        <v>0</v>
      </c>
      <c r="U54" s="8">
        <v>0</v>
      </c>
      <c r="V54" s="8">
        <v>0</v>
      </c>
      <c r="W54" s="9" t="s">
        <v>35</v>
      </c>
    </row>
    <row r="55" spans="1:24" x14ac:dyDescent="0.25">
      <c r="A55" s="9" t="s">
        <v>81</v>
      </c>
      <c r="B55" s="9">
        <v>59498</v>
      </c>
      <c r="C55" s="9" t="s">
        <v>26</v>
      </c>
      <c r="D55" s="9" t="s">
        <v>27</v>
      </c>
      <c r="E55" s="9" t="s">
        <v>28</v>
      </c>
      <c r="F55" s="19" t="s">
        <v>80</v>
      </c>
      <c r="G55" s="9">
        <v>17166</v>
      </c>
      <c r="H55" s="9" t="s">
        <v>30</v>
      </c>
      <c r="I55" s="9">
        <v>486</v>
      </c>
      <c r="J55" s="9" t="s">
        <v>36</v>
      </c>
      <c r="K55" s="6">
        <v>2.1</v>
      </c>
      <c r="L55" s="6">
        <v>1E-4</v>
      </c>
      <c r="M55" s="6">
        <v>1E-4</v>
      </c>
      <c r="N55" s="6">
        <v>1E-4</v>
      </c>
      <c r="O55" s="7">
        <v>2.5</v>
      </c>
      <c r="P55" s="6">
        <v>1E-4</v>
      </c>
      <c r="Q55" s="6">
        <v>1E-4</v>
      </c>
      <c r="R55" s="6">
        <v>1E-4</v>
      </c>
      <c r="S55" s="8">
        <v>2.9</v>
      </c>
      <c r="T55" s="6">
        <v>1E-4</v>
      </c>
      <c r="U55" s="6">
        <v>1E-4</v>
      </c>
      <c r="V55" s="6">
        <v>1E-4</v>
      </c>
      <c r="W55" s="6" t="s">
        <v>35</v>
      </c>
    </row>
    <row r="56" spans="1:24" x14ac:dyDescent="0.25">
      <c r="A56" s="9" t="s">
        <v>84</v>
      </c>
      <c r="B56" s="9">
        <v>59498</v>
      </c>
      <c r="C56" s="9" t="s">
        <v>26</v>
      </c>
      <c r="D56" s="9" t="s">
        <v>27</v>
      </c>
      <c r="E56" s="9" t="s">
        <v>28</v>
      </c>
      <c r="F56" s="19" t="s">
        <v>85</v>
      </c>
      <c r="G56" s="9">
        <v>17170</v>
      </c>
      <c r="H56" s="9" t="s">
        <v>64</v>
      </c>
      <c r="I56" s="9" t="s">
        <v>86</v>
      </c>
      <c r="J56" s="9" t="s">
        <v>36</v>
      </c>
      <c r="K56" s="6">
        <v>0.2</v>
      </c>
      <c r="L56" s="6">
        <v>0</v>
      </c>
      <c r="M56" s="6">
        <v>0</v>
      </c>
      <c r="N56" s="6">
        <v>0</v>
      </c>
      <c r="O56" s="7">
        <v>0.5</v>
      </c>
      <c r="P56" s="7">
        <v>0</v>
      </c>
      <c r="Q56" s="7">
        <v>0</v>
      </c>
      <c r="R56" s="7">
        <v>0</v>
      </c>
      <c r="S56" s="8">
        <v>0.9</v>
      </c>
      <c r="T56" s="8">
        <v>0</v>
      </c>
      <c r="U56" s="8">
        <v>0</v>
      </c>
      <c r="V56" s="8">
        <v>0</v>
      </c>
      <c r="W56" s="9" t="s">
        <v>35</v>
      </c>
    </row>
    <row r="57" spans="1:24" x14ac:dyDescent="0.25">
      <c r="A57" s="9" t="s">
        <v>81</v>
      </c>
      <c r="B57" s="9" t="s">
        <v>25</v>
      </c>
      <c r="C57" s="9" t="s">
        <v>26</v>
      </c>
      <c r="D57" s="9" t="s">
        <v>27</v>
      </c>
      <c r="E57" s="9" t="s">
        <v>28</v>
      </c>
      <c r="F57" s="19" t="s">
        <v>87</v>
      </c>
      <c r="G57" s="9">
        <v>17121</v>
      </c>
      <c r="H57" s="9" t="s">
        <v>30</v>
      </c>
      <c r="I57" s="9">
        <v>486</v>
      </c>
      <c r="J57" s="9" t="s">
        <v>36</v>
      </c>
      <c r="K57" s="6">
        <v>3.1</v>
      </c>
      <c r="L57" s="6">
        <v>-1E-4</v>
      </c>
      <c r="M57" s="6">
        <v>-1E-4</v>
      </c>
      <c r="N57" s="6">
        <v>-1E-4</v>
      </c>
      <c r="O57" s="7">
        <v>3.5</v>
      </c>
      <c r="P57" s="6">
        <v>-1E-4</v>
      </c>
      <c r="Q57" s="6">
        <v>-1E-4</v>
      </c>
      <c r="R57" s="6">
        <v>-1E-4</v>
      </c>
      <c r="S57" s="8">
        <v>3.9</v>
      </c>
      <c r="T57" s="6">
        <v>-1E-4</v>
      </c>
      <c r="U57" s="6">
        <v>-1E-4</v>
      </c>
      <c r="V57" s="6">
        <v>-1E-4</v>
      </c>
      <c r="W57" s="9" t="s">
        <v>35</v>
      </c>
    </row>
    <row r="58" spans="1:24" x14ac:dyDescent="0.25">
      <c r="A58" s="9" t="s">
        <v>24</v>
      </c>
      <c r="B58" s="9" t="s">
        <v>25</v>
      </c>
      <c r="C58" s="9" t="s">
        <v>26</v>
      </c>
      <c r="D58" s="9" t="s">
        <v>27</v>
      </c>
      <c r="E58" s="9" t="s">
        <v>28</v>
      </c>
      <c r="F58" s="19" t="s">
        <v>72</v>
      </c>
      <c r="G58" s="9">
        <v>17005</v>
      </c>
      <c r="H58" s="9" t="s">
        <v>64</v>
      </c>
      <c r="I58" s="9" t="s">
        <v>88</v>
      </c>
      <c r="J58" s="9" t="s">
        <v>36</v>
      </c>
      <c r="K58" s="6">
        <v>5.0999999999999996</v>
      </c>
      <c r="L58" s="6">
        <v>-2.5000000000000001E-4</v>
      </c>
      <c r="M58" s="6">
        <v>-2.0000000000000001E-4</v>
      </c>
      <c r="N58" s="6">
        <v>-2.5000000000000001E-4</v>
      </c>
      <c r="O58" s="7">
        <v>5.5</v>
      </c>
      <c r="P58" s="6">
        <v>-2.5000000000000001E-4</v>
      </c>
      <c r="Q58" s="7">
        <v>-2.5000000000000001E-4</v>
      </c>
      <c r="R58" s="7">
        <v>-2.0000000000000001E-4</v>
      </c>
      <c r="S58" s="8">
        <v>5.9</v>
      </c>
      <c r="T58" s="7">
        <v>-2.0000000000000001E-4</v>
      </c>
      <c r="U58" s="8">
        <v>-1.4999999999999999E-4</v>
      </c>
      <c r="V58" s="8">
        <v>-2E-3</v>
      </c>
      <c r="W58" s="9" t="s">
        <v>35</v>
      </c>
    </row>
  </sheetData>
  <dataValidations count="1">
    <dataValidation type="list" allowBlank="1" sqref="W2:W43 W47:W54 W56:W58" xr:uid="{00000000-0002-0000-0000-000000000000}">
      <formula1>"READY,PENDING,FAILED"</formula1>
    </dataValidation>
  </dataValidations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defaultRowHeight="15" x14ac:dyDescent="0.25"/>
  <cols>
    <col min="1" max="1" width="70" customWidth="1"/>
  </cols>
  <sheetData>
    <row r="1" spans="1:1" x14ac:dyDescent="0.25">
      <c r="A1" s="10" t="s">
        <v>38</v>
      </c>
    </row>
    <row r="2" spans="1:1" x14ac:dyDescent="0.25">
      <c r="A2" s="11"/>
    </row>
    <row r="3" spans="1:1" x14ac:dyDescent="0.25">
      <c r="A3" s="11" t="s">
        <v>39</v>
      </c>
    </row>
    <row r="4" spans="1:1" x14ac:dyDescent="0.25">
      <c r="A4" s="11" t="s">
        <v>40</v>
      </c>
    </row>
    <row r="5" spans="1:1" x14ac:dyDescent="0.25">
      <c r="A5" s="11"/>
    </row>
    <row r="6" spans="1:1" x14ac:dyDescent="0.25">
      <c r="A6" s="10" t="s">
        <v>41</v>
      </c>
    </row>
    <row r="7" spans="1:1" x14ac:dyDescent="0.25">
      <c r="A7" s="11" t="s">
        <v>42</v>
      </c>
    </row>
    <row r="8" spans="1:1" x14ac:dyDescent="0.25">
      <c r="A8" s="11" t="s">
        <v>43</v>
      </c>
    </row>
    <row r="9" spans="1:1" x14ac:dyDescent="0.25">
      <c r="A9" s="11" t="s">
        <v>44</v>
      </c>
    </row>
    <row r="10" spans="1:1" x14ac:dyDescent="0.25">
      <c r="A10" s="11" t="s">
        <v>45</v>
      </c>
    </row>
    <row r="11" spans="1:1" x14ac:dyDescent="0.25">
      <c r="A11" s="11" t="s">
        <v>46</v>
      </c>
    </row>
    <row r="12" spans="1:1" x14ac:dyDescent="0.25">
      <c r="A12" s="11" t="s">
        <v>47</v>
      </c>
    </row>
    <row r="13" spans="1:1" x14ac:dyDescent="0.25">
      <c r="A13" s="11" t="s">
        <v>48</v>
      </c>
    </row>
    <row r="14" spans="1:1" x14ac:dyDescent="0.25">
      <c r="A14" s="11" t="s">
        <v>49</v>
      </c>
    </row>
    <row r="15" spans="1:1" x14ac:dyDescent="0.25">
      <c r="A15" s="11" t="s">
        <v>50</v>
      </c>
    </row>
    <row r="16" spans="1:1" x14ac:dyDescent="0.25">
      <c r="A16" s="11" t="s">
        <v>51</v>
      </c>
    </row>
    <row r="17" spans="1:1" x14ac:dyDescent="0.25">
      <c r="A17" s="11" t="s">
        <v>52</v>
      </c>
    </row>
    <row r="18" spans="1:1" x14ac:dyDescent="0.25">
      <c r="A18" s="11" t="s">
        <v>53</v>
      </c>
    </row>
    <row r="19" spans="1:1" x14ac:dyDescent="0.25">
      <c r="A19" s="11" t="s">
        <v>54</v>
      </c>
    </row>
    <row r="20" spans="1:1" x14ac:dyDescent="0.25">
      <c r="A20" s="11" t="s">
        <v>55</v>
      </c>
    </row>
    <row r="21" spans="1:1" x14ac:dyDescent="0.25">
      <c r="A21" s="11" t="s">
        <v>56</v>
      </c>
    </row>
    <row r="22" spans="1:1" x14ac:dyDescent="0.25">
      <c r="A22" s="11" t="s">
        <v>57</v>
      </c>
    </row>
    <row r="23" spans="1:1" x14ac:dyDescent="0.25">
      <c r="A23" s="11" t="s">
        <v>58</v>
      </c>
    </row>
    <row r="24" spans="1:1" x14ac:dyDescent="0.25">
      <c r="A24" s="11" t="s">
        <v>59</v>
      </c>
    </row>
    <row r="25" spans="1:1" x14ac:dyDescent="0.25">
      <c r="A25" s="11"/>
    </row>
    <row r="26" spans="1:1" x14ac:dyDescent="0.25">
      <c r="A26" s="10" t="s">
        <v>60</v>
      </c>
    </row>
    <row r="27" spans="1:1" x14ac:dyDescent="0.25">
      <c r="A27" s="11" t="s">
        <v>61</v>
      </c>
    </row>
    <row r="28" spans="1:1" x14ac:dyDescent="0.25">
      <c r="A28" s="11" t="s">
        <v>62</v>
      </c>
    </row>
    <row r="29" spans="1:1" x14ac:dyDescent="0.25">
      <c r="A29" s="11" t="s">
        <v>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01212c-ed20-40b5-b4a7-7f09d901cfb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E07CFC87B55641BC4E4A99CEF00BC8" ma:contentTypeVersion="5" ma:contentTypeDescription="Create a new document." ma:contentTypeScope="" ma:versionID="dee8368334f35a18d192a52fb0f8f3ad">
  <xsd:schema xmlns:xsd="http://www.w3.org/2001/XMLSchema" xmlns:xs="http://www.w3.org/2001/XMLSchema" xmlns:p="http://schemas.microsoft.com/office/2006/metadata/properties" xmlns:ns3="a801212c-ed20-40b5-b4a7-7f09d901cfb4" targetNamespace="http://schemas.microsoft.com/office/2006/metadata/properties" ma:root="true" ma:fieldsID="139f7c479b02b55e871ed92987637bc0" ns3:_="">
    <xsd:import namespace="a801212c-ed20-40b5-b4a7-7f09d901cf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1212c-ed20-40b5-b4a7-7f09d901cf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B883EC-7BEB-4726-8404-C28D59548DE8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a801212c-ed20-40b5-b4a7-7f09d901cfb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5F7F6FF-1B47-4BC2-9E3F-EBC98A9A1D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01212c-ed20-40b5-b4a7-7f09d901cf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4B2CAE-9686-4409-B623-993ACB445D8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9e8e454-ead6-40c6-bc93-5b83567d5e1a}" enabled="0" method="" siteId="{c9e8e454-ead6-40c6-bc93-5b83567d5e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MAIN_INPUT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Shyam</cp:lastModifiedBy>
  <cp:lastPrinted>2026-06-19T13:17:50Z</cp:lastPrinted>
  <dcterms:created xsi:type="dcterms:W3CDTF">2026-06-08T12:39:37Z</dcterms:created>
  <dcterms:modified xsi:type="dcterms:W3CDTF">2026-06-22T14:23:04Z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0x010100F6E07CFC87B55641BC4E4A99CEF00BC8</vt:lpwstr>
  </property>
</Properties>
</file>